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TARLA" sheetId="1" state="visible" r:id="rId1"/>
    <sheet xmlns:r="http://schemas.openxmlformats.org/officeDocument/2006/relationships" name="ARSA" sheetId="2" state="visible" r:id="rId2"/>
    <sheet xmlns:r="http://schemas.openxmlformats.org/officeDocument/2006/relationships" name="KONUT-İŞYERLERİ" sheetId="3" state="visible" r:id="rId3"/>
    <sheet xmlns:r="http://schemas.openxmlformats.org/officeDocument/2006/relationships" name="NİTELİKLİ GAYRİMENKU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harset val="162"/>
      <family val="2"/>
      <color theme="1"/>
      <sz val="11"/>
      <scheme val="minor"/>
    </font>
    <font>
      <name val="Calibri"/>
      <charset val="162"/>
      <family val="2"/>
      <color theme="1"/>
      <sz val="11"/>
      <scheme val="minor"/>
    </font>
    <font>
      <name val="Calibri"/>
      <charset val="162"/>
      <family val="2"/>
      <color theme="1"/>
      <sz val="11"/>
      <scheme val="minor"/>
    </font>
    <font>
      <name val="Calibri"/>
      <charset val="162"/>
      <family val="2"/>
      <color theme="1"/>
      <sz val="11"/>
      <scheme val="minor"/>
    </font>
    <font>
      <name val="Calibri"/>
      <charset val="162"/>
      <family val="2"/>
      <color theme="1"/>
      <sz val="11"/>
      <scheme val="minor"/>
    </font>
    <font>
      <name val="Calibri"/>
      <charset val="162"/>
      <family val="2"/>
      <b val="1"/>
      <color theme="1"/>
      <sz val="11"/>
      <scheme val="minor"/>
    </font>
    <font>
      <name val="Calibri"/>
      <charset val="162"/>
      <family val="2"/>
      <b val="1"/>
      <color theme="0"/>
      <sz val="14"/>
      <scheme val="minor"/>
    </font>
    <font>
      <name val="Calibri"/>
      <charset val="162"/>
      <family val="2"/>
      <b val="1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3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8" fillId="2" borderId="2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/>
    </xf>
    <xf numFmtId="3" fontId="8" fillId="2" borderId="3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/>
    </xf>
    <xf numFmtId="0" fontId="8" fillId="2" borderId="6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center" vertical="center"/>
    </xf>
    <xf numFmtId="3" fontId="8" fillId="2" borderId="6" applyAlignment="1" pivotButton="0" quotePrefix="0" xfId="0">
      <alignment horizontal="center" vertical="center" wrapText="1"/>
    </xf>
    <xf numFmtId="0" fontId="8" fillId="2" borderId="7" applyAlignment="1" pivotButton="0" quotePrefix="0" xfId="0">
      <alignment horizontal="center" vertical="center" wrapText="1"/>
    </xf>
    <xf numFmtId="0" fontId="8" fillId="2" borderId="21" applyAlignment="1" pivotButton="0" quotePrefix="0" xfId="0">
      <alignment horizontal="center" vertical="center" wrapText="1"/>
    </xf>
    <xf numFmtId="3" fontId="8" fillId="2" borderId="4" applyAlignment="1" pivotButton="0" quotePrefix="0" xfId="0">
      <alignment horizontal="center" vertical="center" wrapText="1"/>
    </xf>
    <xf numFmtId="3" fontId="8" fillId="2" borderId="7" applyAlignment="1" pivotButton="0" quotePrefix="0" xfId="0">
      <alignment horizontal="center" vertical="center" wrapText="1"/>
    </xf>
    <xf numFmtId="4" fontId="8" fillId="2" borderId="6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3" fontId="8" fillId="2" borderId="1" applyAlignment="1" pivotButton="0" quotePrefix="0" xfId="0">
      <alignment horizontal="center" vertical="center" wrapText="1"/>
    </xf>
    <xf numFmtId="4" fontId="8" fillId="2" borderId="1" applyAlignment="1" pivotButton="0" quotePrefix="0" xfId="0">
      <alignment horizontal="center" vertical="center" wrapText="1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3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3" fontId="0" fillId="0" borderId="13" applyAlignment="1" pivotButton="0" quotePrefix="0" xfId="0">
      <alignment horizontal="center" vertical="center"/>
    </xf>
    <xf numFmtId="4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3" fontId="6" fillId="0" borderId="0" applyAlignment="1" pivotButton="0" quotePrefix="0" xfId="0">
      <alignment horizontal="center" vertical="center"/>
    </xf>
    <xf numFmtId="4" fontId="6" fillId="0" borderId="0" applyAlignment="1" pivotButton="0" quotePrefix="0" xfId="0">
      <alignment horizontal="center" vertical="center"/>
    </xf>
    <xf numFmtId="3" fontId="6" fillId="0" borderId="23" applyAlignment="1" pivotButton="0" quotePrefix="0" xfId="0">
      <alignment horizontal="center" vertical="center"/>
    </xf>
    <xf numFmtId="4" fontId="6" fillId="0" borderId="23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3" fontId="0" fillId="0" borderId="17" applyAlignment="1" pivotButton="0" quotePrefix="0" xfId="0">
      <alignment horizontal="center" vertical="center"/>
    </xf>
    <xf numFmtId="3" fontId="0" fillId="0" borderId="9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3" fontId="6" fillId="0" borderId="29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3" fontId="0" fillId="0" borderId="28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3" fontId="0" fillId="0" borderId="23" applyAlignment="1" pivotButton="0" quotePrefix="0" xfId="0">
      <alignment horizontal="center" vertical="center"/>
    </xf>
    <xf numFmtId="3" fontId="0" fillId="0" borderId="29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3" fontId="6" fillId="0" borderId="19" applyAlignment="1" pivotButton="0" quotePrefix="0" xfId="0">
      <alignment horizontal="center" vertical="center"/>
    </xf>
    <xf numFmtId="3" fontId="6" fillId="0" borderId="27" applyAlignment="1" pivotButton="0" quotePrefix="0" xfId="0">
      <alignment horizontal="center" vertical="center"/>
    </xf>
    <xf numFmtId="0" fontId="6" fillId="0" borderId="27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0" fillId="0" borderId="34" applyAlignment="1" pivotButton="0" quotePrefix="0" xfId="0">
      <alignment vertical="center"/>
    </xf>
    <xf numFmtId="0" fontId="0" fillId="0" borderId="35" applyAlignment="1" pivotButton="0" quotePrefix="0" xfId="0">
      <alignment vertical="center"/>
    </xf>
    <xf numFmtId="0" fontId="6" fillId="0" borderId="22" applyAlignment="1" pivotButton="0" quotePrefix="0" xfId="0">
      <alignment horizontal="center" vertical="center"/>
    </xf>
    <xf numFmtId="0" fontId="0" fillId="0" borderId="37" applyAlignment="1" pivotButton="0" quotePrefix="0" xfId="0">
      <alignment vertical="center"/>
    </xf>
    <xf numFmtId="0" fontId="0" fillId="0" borderId="38" applyAlignment="1" pivotButton="0" quotePrefix="0" xfId="0">
      <alignment vertical="center"/>
    </xf>
    <xf numFmtId="0" fontId="7" fillId="2" borderId="5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3" borderId="36" applyAlignment="1" pivotButton="0" quotePrefix="0" xfId="0">
      <alignment horizontal="center" vertical="center" wrapText="1"/>
    </xf>
    <xf numFmtId="0" fontId="0" fillId="0" borderId="30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0" fontId="0" fillId="0" borderId="33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0" fontId="0" fillId="0" borderId="31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6" fillId="0" borderId="24" applyAlignment="1" pivotButton="0" quotePrefix="0" xfId="0">
      <alignment horizontal="center" vertical="center"/>
    </xf>
    <xf numFmtId="0" fontId="0" fillId="0" borderId="25" applyAlignment="1" pivotButton="0" quotePrefix="0" xfId="0">
      <alignment vertical="center"/>
    </xf>
    <xf numFmtId="0" fontId="6" fillId="0" borderId="10" applyAlignment="1" pivotButton="0" quotePrefix="0" xfId="0">
      <alignment horizontal="center" vertical="center"/>
    </xf>
    <xf numFmtId="0" fontId="7" fillId="2" borderId="20" applyAlignment="1" pivotButton="0" quotePrefix="0" xfId="0">
      <alignment horizontal="center" vertical="center" wrapText="1"/>
    </xf>
    <xf numFmtId="0" fontId="0" fillId="0" borderId="39" applyAlignment="1" pivotButton="0" quotePrefix="0" xfId="0">
      <alignment vertical="center"/>
    </xf>
    <xf numFmtId="0" fontId="0" fillId="0" borderId="40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6" fillId="0" borderId="41" applyAlignment="1" pivotButton="0" quotePrefix="0" xfId="0">
      <alignment horizontal="center" vertical="center"/>
    </xf>
    <xf numFmtId="0" fontId="0" fillId="0" borderId="26" applyAlignment="1" pivotButton="0" quotePrefix="0" xfId="0">
      <alignment vertical="center"/>
    </xf>
    <xf numFmtId="0" fontId="0" fillId="4" borderId="15" applyAlignment="1" pivotButton="0" quotePrefix="0" xfId="0">
      <alignment horizontal="center" vertical="center"/>
    </xf>
    <xf numFmtId="0" fontId="0" fillId="4" borderId="16" applyAlignment="1" pivotButton="0" quotePrefix="0" xfId="0">
      <alignment horizontal="center" vertical="center"/>
    </xf>
    <xf numFmtId="3" fontId="0" fillId="4" borderId="16" applyAlignment="1" pivotButton="0" quotePrefix="0" xfId="0">
      <alignment horizontal="center" vertical="center"/>
    </xf>
    <xf numFmtId="4" fontId="0" fillId="4" borderId="16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0" fillId="4" borderId="8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0" fillId="4" borderId="9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3" fontId="4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4" borderId="9" applyAlignment="1" pivotButton="0" quotePrefix="0" xfId="0">
      <alignment horizontal="center" vertical="center" wrapText="1"/>
    </xf>
    <xf numFmtId="3" fontId="1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 wrapText="1"/>
    </xf>
    <xf numFmtId="3" fontId="0" fillId="4" borderId="1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8" pivotButton="0" quotePrefix="0" xfId="0"/>
    <xf numFmtId="4" fontId="1" fillId="4" borderId="1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4" pivotButton="0" quotePrefix="0" xfId="0"/>
    <xf numFmtId="0" fontId="0" fillId="0" borderId="31" pivotButton="0" quotePrefix="0" xfId="0"/>
    <xf numFmtId="0" fontId="0" fillId="0" borderId="34" pivotButton="0" quotePrefix="0" xfId="0"/>
    <xf numFmtId="0" fontId="0" fillId="0" borderId="35" pivotButton="0" quotePrefix="0" xfId="0"/>
    <xf numFmtId="4" fontId="0" fillId="4" borderId="16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40" pivotButton="0" quotePrefix="0" xfId="0"/>
    <xf numFmtId="0" fontId="0" fillId="0" borderId="37" pivotButton="0" quotePrefix="0" xfId="0"/>
    <xf numFmtId="0" fontId="0" fillId="0" borderId="38" pivotButton="0" quotePrefix="0" xfId="0"/>
    <xf numFmtId="4" fontId="0" fillId="0" borderId="16" applyAlignment="1" pivotButton="0" quotePrefix="0" xfId="0">
      <alignment horizontal="center" vertical="center"/>
    </xf>
    <xf numFmtId="4" fontId="0" fillId="0" borderId="21" applyAlignment="1" pivotButton="0" quotePrefix="0" xfId="0">
      <alignment horizontal="center" vertical="center"/>
    </xf>
    <xf numFmtId="0" fontId="0" fillId="0" borderId="25" pivotButton="0" quotePrefix="0" xfId="0"/>
    <xf numFmtId="4" fontId="6" fillId="0" borderId="19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 wrapText="1"/>
    </xf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Şablon</author>
  </authors>
  <commentList>
    <comment ref="D3" authorId="0" shapeId="0">
      <text>
        <t>{{ARSA_ALANI}}</t>
      </text>
    </comment>
    <comment ref="F3" authorId="0" shapeId="0">
      <text>
        <t>{{YASAL_DEGER}}</t>
      </text>
    </comment>
    <comment ref="F12" authorId="0" shapeId="0">
      <text>
        <t>{{MEVCUT_DEGER}}</t>
      </text>
    </comment>
  </commentList>
</comments>
</file>

<file path=xl/comments/comment2.xml><?xml version="1.0" encoding="utf-8"?>
<comments xmlns="http://schemas.openxmlformats.org/spreadsheetml/2006/main">
  <authors>
    <author>Şablon</author>
  </authors>
  <commentList>
    <comment ref="D3" authorId="0" shapeId="0">
      <text>
        <t>{{ARSA_ALANI}}</t>
      </text>
    </comment>
    <comment ref="F3" authorId="0" shapeId="0">
      <text>
        <t>{{KAKS}}</t>
      </text>
    </comment>
    <comment ref="G3" authorId="0" shapeId="0">
      <text>
        <t>{{TAKS}}</t>
      </text>
    </comment>
    <comment ref="H3" authorId="0" shapeId="0">
      <text>
        <t>{{HMAX}}</t>
      </text>
    </comment>
    <comment ref="D12" authorId="0" shapeId="0">
      <text>
        <t>{{ARSA_ALANI}}</t>
      </text>
    </comment>
    <comment ref="F12" authorId="0" shapeId="0">
      <text>
        <t>{{YASAL_DEGER}}</t>
      </text>
    </comment>
  </commentList>
</comments>
</file>

<file path=xl/comments/comment3.xml><?xml version="1.0" encoding="utf-8"?>
<comments xmlns="http://schemas.openxmlformats.org/spreadsheetml/2006/main">
  <authors>
    <author>Şablon</author>
  </authors>
  <commentList>
    <comment ref="E3" authorId="0" shapeId="0">
      <text>
        <t>{{YASAL_ALAN}}</t>
      </text>
    </comment>
    <comment ref="G3" authorId="0" shapeId="0">
      <text>
        <t>{{YASAL_DEGER}}</t>
      </text>
    </comment>
    <comment ref="E10" authorId="0" shapeId="0">
      <text>
        <t>{{MEVCUT_ALAN}}</t>
      </text>
    </comment>
    <comment ref="G10" authorId="0" shapeId="0">
      <text>
        <t>{{MEVCUT_DEGER}}</t>
      </text>
    </comment>
  </commentList>
</comments>
</file>

<file path=xl/comments/comment4.xml><?xml version="1.0" encoding="utf-8"?>
<comments xmlns="http://schemas.openxmlformats.org/spreadsheetml/2006/main">
  <authors>
    <author>Şablon</author>
  </authors>
  <commentList>
    <comment ref="G3" authorId="0" shapeId="0">
      <text>
        <t>{{ARSA_ALANI}}</t>
      </text>
    </comment>
    <comment ref="I3" authorId="0" shapeId="0">
      <text>
        <t>{{YASAL_DEGER}}</t>
      </text>
    </comment>
    <comment ref="G4" authorId="0" shapeId="0">
      <text>
        <t>{{YAPI_ALANI}}</t>
      </text>
    </comment>
    <comment ref="I4" authorId="0" shapeId="0">
      <text>
        <t>{{MEVCUT_DEGER}}</t>
      </text>
    </comment>
    <comment ref="G13" authorId="0" shapeId="0">
      <text>
        <t>{{ARSA_ALANI}}</t>
      </text>
    </comment>
    <comment ref="I13" authorId="0" shapeId="0">
      <text>
        <t>{{YASAL_DEGER}}</t>
      </text>
    </comment>
    <comment ref="G14" authorId="0" shapeId="0">
      <text>
        <t>{{YAPI_ALANI}}</t>
      </text>
    </comment>
    <comment ref="I14" authorId="0" shapeId="0">
      <text>
        <t>{{MEVCUT_DEGER}}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zoomScaleNormal="100" workbookViewId="0">
      <selection activeCell="D3" sqref="D3"/>
    </sheetView>
  </sheetViews>
  <sheetFormatPr baseColWidth="8" defaultRowHeight="15"/>
  <cols>
    <col width="16.42578125" customWidth="1" style="1" min="1" max="1"/>
    <col width="16" customWidth="1" style="1" min="2" max="2"/>
    <col width="13" customWidth="1" style="1" min="3" max="4"/>
    <col width="24.5703125" bestFit="1" customWidth="1" style="3" min="5" max="5"/>
    <col width="17.28515625" customWidth="1" style="3" min="6" max="6"/>
    <col width="17.42578125" customWidth="1" style="1" min="7" max="7"/>
  </cols>
  <sheetData>
    <row r="1" ht="45" customHeight="1" thickBot="1">
      <c r="A1" s="75" t="inlineStr">
        <is>
          <t>TARLA YASAL DURUM DEĞERİ/KANAAT TABLOSU</t>
        </is>
      </c>
      <c r="B1" s="120" t="n"/>
      <c r="C1" s="120" t="n"/>
      <c r="D1" s="120" t="n"/>
      <c r="E1" s="120" t="n"/>
      <c r="F1" s="120" t="n"/>
      <c r="G1" s="121" t="n"/>
      <c r="H1" s="85" t="n"/>
      <c r="I1" s="85" t="n"/>
      <c r="J1" s="85" t="n"/>
      <c r="K1" s="85" t="n"/>
    </row>
    <row r="2" ht="61.5" customFormat="1" customHeight="1" s="85" thickBot="1">
      <c r="A2" s="13" t="inlineStr">
        <is>
          <t>SIRA NO</t>
        </is>
      </c>
      <c r="B2" s="14" t="inlineStr">
        <is>
          <t>ADA</t>
        </is>
      </c>
      <c r="C2" s="15" t="inlineStr">
        <is>
          <t>PARSEL</t>
        </is>
      </c>
      <c r="D2" s="14" t="inlineStr">
        <is>
          <t>YÜZÖLÇÜM
(M²)</t>
        </is>
      </c>
      <c r="E2" s="16" t="inlineStr">
        <is>
          <t>YASAL BİRİM DEĞER
(TL/M²)</t>
        </is>
      </c>
      <c r="F2" s="16" t="inlineStr">
        <is>
          <t xml:space="preserve"> YASAL DEĞER
(TL)</t>
        </is>
      </c>
      <c r="G2" s="17" t="inlineStr">
        <is>
          <t>SATIŞ KABİLİYETİ</t>
        </is>
      </c>
    </row>
    <row r="3" ht="34.5" customHeight="1">
      <c r="A3" s="95" t="inlineStr">
        <is>
          <t>Sistemden BKNZ</t>
        </is>
      </c>
      <c r="B3" s="96" t="inlineStr">
        <is>
          <t>{{ADA}}</t>
        </is>
      </c>
      <c r="C3" s="96" t="inlineStr">
        <is>
          <t>{{PARSEL}}</t>
        </is>
      </c>
      <c r="D3" s="122" t="inlineStr">
        <is>
          <t>{{LAND_AREA}}</t>
        </is>
      </c>
      <c r="E3" s="98">
        <f>F3/D3</f>
        <v/>
      </c>
      <c r="F3" s="97" t="inlineStr">
        <is>
          <t>{{LEGAL_VALUE}}</t>
        </is>
      </c>
      <c r="G3" s="99" t="inlineStr">
        <is>
          <t>{{SALEABİLİTY}}</t>
        </is>
      </c>
      <c r="H3" s="85" t="n"/>
      <c r="I3" s="85" t="n"/>
      <c r="J3" s="78" t="inlineStr">
        <is>
          <t>SARI İLE BOYALI ALANLARA GİRİŞ YAPILMALIDIR</t>
        </is>
      </c>
      <c r="K3" s="123" t="n"/>
    </row>
    <row r="4" ht="34.5" customHeight="1">
      <c r="A4" s="100" t="n"/>
      <c r="B4" s="101" t="n"/>
      <c r="C4" s="101" t="n"/>
      <c r="D4" s="102" t="n"/>
      <c r="E4" s="97" t="n"/>
      <c r="F4" s="97" t="n"/>
      <c r="G4" s="104" t="n"/>
      <c r="H4" s="85" t="n"/>
      <c r="I4" s="85" t="n"/>
      <c r="J4" s="124" t="n"/>
      <c r="K4" s="125" t="n"/>
    </row>
    <row r="5" ht="34.5" customHeight="1" thickBot="1">
      <c r="A5" s="32" t="n"/>
      <c r="B5" s="33" t="n"/>
      <c r="C5" s="33" t="n"/>
      <c r="D5" s="33" t="n"/>
      <c r="E5" s="34" t="n"/>
      <c r="F5" s="31" t="n"/>
      <c r="G5" s="35" t="n"/>
      <c r="H5" s="85" t="n"/>
      <c r="I5" s="85" t="n"/>
      <c r="J5" s="126" t="n"/>
      <c r="K5" s="127" t="n"/>
    </row>
    <row r="6" ht="34.5" customHeight="1">
      <c r="A6" s="32" t="n"/>
      <c r="B6" s="33" t="n"/>
      <c r="C6" s="33" t="n"/>
      <c r="D6" s="33" t="n"/>
      <c r="E6" s="34" t="n"/>
      <c r="F6" s="31" t="n"/>
      <c r="G6" s="35" t="n"/>
      <c r="H6" s="85" t="n"/>
      <c r="I6" s="85" t="n"/>
      <c r="J6" s="85" t="n"/>
      <c r="K6" s="85" t="n"/>
    </row>
    <row r="7" ht="34.5" customHeight="1" thickBot="1">
      <c r="A7" s="32" t="n"/>
      <c r="B7" s="33" t="n"/>
      <c r="C7" s="33" t="n"/>
      <c r="D7" s="33" t="n"/>
      <c r="E7" s="34" t="n"/>
      <c r="F7" s="31" t="n"/>
      <c r="G7" s="35" t="n"/>
      <c r="H7" s="85" t="n"/>
      <c r="I7" s="85" t="n"/>
      <c r="J7" s="85" t="n"/>
      <c r="K7" s="85" t="n"/>
    </row>
    <row r="8" ht="36" customHeight="1" thickBot="1">
      <c r="A8" s="88" t="inlineStr">
        <is>
          <t>GENEL TOPLAM</t>
        </is>
      </c>
      <c r="B8" s="120" t="n"/>
      <c r="C8" s="120" t="n"/>
      <c r="D8" s="45">
        <f>SUM(D3:D7)</f>
        <v/>
      </c>
      <c r="E8" s="36" t="n"/>
      <c r="F8" s="36">
        <f>SUM(F3:F7)</f>
        <v/>
      </c>
      <c r="G8" s="37" t="n"/>
      <c r="H8" s="85" t="n"/>
      <c r="I8" s="85" t="n"/>
      <c r="J8" s="85" t="n"/>
      <c r="K8" s="85" t="n"/>
    </row>
    <row r="9" ht="31.5" customHeight="1" thickBot="1">
      <c r="A9" s="85" t="n"/>
      <c r="B9" s="85" t="n"/>
      <c r="C9" s="85" t="n"/>
      <c r="D9" s="85" t="n"/>
      <c r="E9" s="85" t="n"/>
      <c r="F9" s="85" t="n"/>
      <c r="G9" s="85" t="n"/>
      <c r="H9" s="85" t="n"/>
      <c r="I9" s="85" t="n"/>
      <c r="J9" s="85" t="n"/>
      <c r="K9" s="85" t="n"/>
    </row>
    <row r="10" ht="45" customHeight="1" thickBot="1">
      <c r="A10" s="75" t="inlineStr">
        <is>
          <t>TARLA MEVCUT DURUM DEĞERİ/KANAAT TABLOSU</t>
        </is>
      </c>
      <c r="B10" s="120" t="n"/>
      <c r="C10" s="120" t="n"/>
      <c r="D10" s="120" t="n"/>
      <c r="E10" s="120" t="n"/>
      <c r="F10" s="120" t="n"/>
      <c r="G10" s="121" t="n"/>
      <c r="H10" s="85" t="n"/>
      <c r="I10" s="85" t="n"/>
      <c r="J10" s="85" t="n"/>
      <c r="K10" s="85" t="n"/>
    </row>
    <row r="11" ht="70.5" customHeight="1" thickBot="1">
      <c r="A11" s="13" t="inlineStr">
        <is>
          <t>SIRA NO</t>
        </is>
      </c>
      <c r="B11" s="14" t="inlineStr">
        <is>
          <t>ADA</t>
        </is>
      </c>
      <c r="C11" s="15" t="inlineStr">
        <is>
          <t>PARSEL</t>
        </is>
      </c>
      <c r="D11" s="14" t="inlineStr">
        <is>
          <t>YÜZÖLÇÜM
(M²)</t>
        </is>
      </c>
      <c r="E11" s="16" t="inlineStr">
        <is>
          <t>MEVCUT BİRİM DEĞER
(TL/M²)</t>
        </is>
      </c>
      <c r="F11" s="16" t="inlineStr">
        <is>
          <t xml:space="preserve"> MEVCUT DEĞER
(TL)</t>
        </is>
      </c>
      <c r="G11" s="17" t="inlineStr">
        <is>
          <t>SATIŞ KABİLİYETİ</t>
        </is>
      </c>
      <c r="H11" s="85" t="n"/>
      <c r="I11" s="85" t="n"/>
      <c r="J11" s="85" t="n"/>
      <c r="K11" s="85" t="n"/>
    </row>
    <row r="12" ht="34.5" customHeight="1">
      <c r="A12" s="95" t="inlineStr">
        <is>
          <t>Sistemden BKNZ</t>
        </is>
      </c>
      <c r="B12" s="96">
        <f>B3</f>
        <v/>
      </c>
      <c r="C12" s="96">
        <f>C3</f>
        <v/>
      </c>
      <c r="D12" s="98">
        <f>D3</f>
        <v/>
      </c>
      <c r="E12" s="98">
        <f>F12/D12</f>
        <v/>
      </c>
      <c r="F12" s="97" t="inlineStr">
        <is>
          <t>{{CURRENT_VALUE}}</t>
        </is>
      </c>
      <c r="G12" s="99" t="inlineStr">
        <is>
          <t>{{SALEABİLİTY}}</t>
        </is>
      </c>
      <c r="H12" s="85" t="n"/>
      <c r="I12" s="85" t="n"/>
      <c r="J12" s="85" t="n"/>
      <c r="K12" s="85" t="n"/>
    </row>
    <row r="13" ht="34.5" customHeight="1">
      <c r="A13" s="95" t="n"/>
      <c r="B13" s="96" t="n"/>
      <c r="C13" s="101" t="n"/>
      <c r="D13" s="102" t="n"/>
      <c r="E13" s="97" t="n"/>
      <c r="F13" s="97" t="n"/>
      <c r="G13" s="104" t="n"/>
      <c r="H13" s="85" t="n"/>
      <c r="I13" s="85" t="n"/>
      <c r="J13" s="85" t="n"/>
      <c r="K13" s="85" t="n"/>
    </row>
    <row r="14" ht="34.5" customHeight="1">
      <c r="A14" s="32" t="n"/>
      <c r="B14" s="33" t="n"/>
      <c r="C14" s="33" t="n"/>
      <c r="D14" s="33" t="n"/>
      <c r="E14" s="34" t="n"/>
      <c r="F14" s="31" t="n"/>
      <c r="G14" s="35" t="n"/>
      <c r="H14" s="85" t="n"/>
      <c r="I14" s="85" t="n"/>
      <c r="J14" s="85" t="n"/>
      <c r="K14" s="85" t="n"/>
    </row>
    <row r="15" ht="34.5" customHeight="1">
      <c r="A15" s="32" t="n"/>
      <c r="B15" s="33" t="n"/>
      <c r="C15" s="33" t="n"/>
      <c r="D15" s="33" t="n"/>
      <c r="E15" s="34" t="n"/>
      <c r="F15" s="31" t="n"/>
      <c r="G15" s="35" t="n"/>
      <c r="H15" s="85" t="n"/>
      <c r="I15" s="85" t="n"/>
      <c r="J15" s="85" t="n"/>
      <c r="K15" s="85" t="n"/>
    </row>
    <row r="16" ht="34.5" customHeight="1" thickBot="1">
      <c r="A16" s="32" t="n"/>
      <c r="B16" s="33" t="n"/>
      <c r="C16" s="33" t="n"/>
      <c r="D16" s="33" t="n"/>
      <c r="E16" s="34" t="n"/>
      <c r="F16" s="31" t="n"/>
      <c r="G16" s="35" t="n"/>
      <c r="H16" s="85" t="n"/>
      <c r="I16" s="85" t="n"/>
      <c r="J16" s="85" t="n"/>
      <c r="K16" s="85" t="n"/>
    </row>
    <row r="17" ht="36" customHeight="1" thickBot="1">
      <c r="A17" s="88" t="inlineStr">
        <is>
          <t>GENEL TOPLAM</t>
        </is>
      </c>
      <c r="B17" s="120" t="n"/>
      <c r="C17" s="120" t="n"/>
      <c r="D17" s="45">
        <f>SUM(D12:D16)</f>
        <v/>
      </c>
      <c r="E17" s="36" t="n"/>
      <c r="F17" s="36">
        <f>SUM(F12:F16)</f>
        <v/>
      </c>
      <c r="G17" s="37" t="n"/>
      <c r="H17" s="85" t="n"/>
      <c r="I17" s="85" t="n"/>
      <c r="J17" s="85" t="n"/>
      <c r="K17" s="85" t="n"/>
    </row>
    <row r="18" ht="30" customHeight="1">
      <c r="A18" s="84" t="n"/>
      <c r="H18" s="85" t="n"/>
      <c r="I18" s="85" t="n"/>
      <c r="J18" s="85" t="n"/>
      <c r="K18" s="85" t="n"/>
    </row>
  </sheetData>
  <mergeCells count="6">
    <mergeCell ref="A1:G1"/>
    <mergeCell ref="A18:G18"/>
    <mergeCell ref="J3:K5"/>
    <mergeCell ref="A8:C8"/>
    <mergeCell ref="A17:C17"/>
    <mergeCell ref="A10:G10"/>
  </mergeCells>
  <pageMargins left="0.7" right="0.7" top="0.75" bottom="0.75" header="0.3" footer="0.3"/>
  <pageSetup orientation="landscape" paperSize="9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tabSelected="1" topLeftCell="A4" zoomScaleNormal="100" workbookViewId="0">
      <selection activeCell="U6" sqref="U6"/>
    </sheetView>
  </sheetViews>
  <sheetFormatPr baseColWidth="8" defaultRowHeight="15"/>
  <cols>
    <col width="14.7109375" customWidth="1" style="1" min="1" max="1"/>
    <col width="12.42578125" customWidth="1" style="1" min="2" max="2"/>
    <col width="11.5703125" customWidth="1" style="1" min="3" max="3"/>
    <col width="11.42578125" bestFit="1" customWidth="1" style="1" min="4" max="4"/>
    <col width="21" bestFit="1" customWidth="1" style="3" min="5" max="5"/>
    <col width="20.28515625" customWidth="1" style="4" min="6" max="6"/>
    <col width="15.5703125" bestFit="1" customWidth="1" style="1" min="7" max="7"/>
    <col width="8.42578125" bestFit="1" customWidth="1" style="3" min="8" max="8"/>
    <col width="13.5703125" bestFit="1" customWidth="1" style="1" min="9" max="9"/>
    <col width="13.5703125" bestFit="1" customWidth="1" style="3" min="10" max="10"/>
    <col width="12.42578125" bestFit="1" customWidth="1" style="1" min="11" max="11"/>
  </cols>
  <sheetData>
    <row r="1" ht="45" customHeight="1" thickBot="1">
      <c r="A1" s="69" t="inlineStr">
        <is>
          <t>ARSA İMAR VE YAPILAŞMA KOŞULLARI</t>
        </is>
      </c>
      <c r="B1" s="128" t="n"/>
      <c r="C1" s="128" t="n"/>
      <c r="D1" s="128" t="n"/>
      <c r="E1" s="128" t="n"/>
      <c r="F1" s="128" t="n"/>
      <c r="G1" s="128" t="n"/>
      <c r="H1" s="128" t="n"/>
      <c r="I1" s="128" t="n"/>
      <c r="J1" s="128" t="n"/>
      <c r="K1" s="129" t="n"/>
      <c r="L1" s="85" t="n"/>
      <c r="M1" s="85" t="n"/>
      <c r="N1" s="85" t="n"/>
      <c r="O1" s="85" t="n"/>
    </row>
    <row r="2" ht="121.5" customFormat="1" customHeight="1" s="85" thickBot="1">
      <c r="A2" s="13" t="inlineStr">
        <is>
          <t>SIRA NO</t>
        </is>
      </c>
      <c r="B2" s="14" t="inlineStr">
        <is>
          <t>ADA</t>
        </is>
      </c>
      <c r="C2" s="15" t="inlineStr">
        <is>
          <t>PARSEL</t>
        </is>
      </c>
      <c r="D2" s="14" t="inlineStr">
        <is>
          <t>YÜZÖLÇÜM
(M²)</t>
        </is>
      </c>
      <c r="E2" s="16" t="inlineStr">
        <is>
          <t>YAPILAŞMA 
FONKSİYONU</t>
        </is>
      </c>
      <c r="F2" s="21" t="inlineStr">
        <is>
          <t>KAKS</t>
        </is>
      </c>
      <c r="G2" s="14" t="inlineStr">
        <is>
          <t>TAKS</t>
        </is>
      </c>
      <c r="H2" s="16" t="inlineStr">
        <is>
          <t>H MAX
(METRE)</t>
        </is>
      </c>
      <c r="I2" s="14" t="inlineStr">
        <is>
          <t>HESAPLANAN EMSAL</t>
        </is>
      </c>
      <c r="J2" s="16" t="inlineStr">
        <is>
          <t xml:space="preserve">TERK SONRASI
ARSA BÜYÜKLÜĞÜ </t>
        </is>
      </c>
      <c r="K2" s="17" t="inlineStr">
        <is>
          <t>YAPI NİZAMI</t>
        </is>
      </c>
    </row>
    <row r="3" ht="34.5" customHeight="1">
      <c r="A3" s="95" t="inlineStr">
        <is>
          <t>Sistemden BKNZ</t>
        </is>
      </c>
      <c r="B3" s="96" t="inlineStr">
        <is>
          <t>{{ADA}}</t>
        </is>
      </c>
      <c r="C3" s="96" t="inlineStr">
        <is>
          <t>{{PARSEL}}</t>
        </is>
      </c>
      <c r="D3" s="122" t="inlineStr">
        <is>
          <t>{{LAND_AREA}}</t>
        </is>
      </c>
      <c r="E3" s="97" t="inlineStr">
        <is>
          <t>{{LEGEND}}</t>
        </is>
      </c>
      <c r="F3" s="98" t="n">
        <v>0</v>
      </c>
      <c r="G3" s="96" t="n">
        <v>0</v>
      </c>
      <c r="H3" s="98" t="n">
        <v>0</v>
      </c>
      <c r="I3" s="119" t="inlineStr">
        <is>
          <t>{{CALCULATED_EMSAL}}</t>
        </is>
      </c>
      <c r="J3" s="130" t="inlineStr">
        <is>
          <t>{{POST_ROAD_SETBACK_PARCEL_AREA}}</t>
        </is>
      </c>
      <c r="K3" s="99" t="inlineStr">
        <is>
          <t>{{ORDER}}</t>
        </is>
      </c>
      <c r="L3" s="85" t="n"/>
      <c r="M3" s="85" t="n"/>
    </row>
    <row r="4" ht="34.5" customHeight="1">
      <c r="A4" s="100" t="n"/>
      <c r="B4" s="101" t="n"/>
      <c r="C4" s="101" t="n"/>
      <c r="D4" s="102" t="n"/>
      <c r="E4" s="102" t="n"/>
      <c r="F4" s="103" t="n"/>
      <c r="G4" s="101" t="n"/>
      <c r="H4" s="96" t="n"/>
      <c r="I4" s="97" t="n"/>
      <c r="J4" s="97" t="n"/>
      <c r="K4" s="104" t="n"/>
      <c r="L4" s="85" t="n"/>
      <c r="M4" s="85" t="n"/>
    </row>
    <row r="5" ht="34.5" customHeight="1">
      <c r="A5" s="32" t="n"/>
      <c r="B5" s="33" t="n"/>
      <c r="C5" s="33" t="n"/>
      <c r="D5" s="33" t="n"/>
      <c r="E5" s="34" t="n"/>
      <c r="F5" s="39" t="n"/>
      <c r="G5" s="33" t="n"/>
      <c r="H5" s="34" t="n"/>
      <c r="I5" s="33" t="n"/>
      <c r="J5" s="34" t="n"/>
      <c r="K5" s="35" t="n"/>
      <c r="L5" s="85" t="n"/>
      <c r="M5" s="85" t="n"/>
    </row>
    <row r="6" ht="34.5" customHeight="1">
      <c r="A6" s="32" t="n"/>
      <c r="B6" s="33" t="n"/>
      <c r="C6" s="33" t="n"/>
      <c r="D6" s="33" t="n"/>
      <c r="E6" s="34" t="n"/>
      <c r="F6" s="39" t="n"/>
      <c r="G6" s="33" t="n"/>
      <c r="H6" s="34" t="n"/>
      <c r="I6" s="33" t="n"/>
      <c r="J6" s="34" t="n"/>
      <c r="K6" s="35" t="n"/>
      <c r="L6" s="85" t="n"/>
      <c r="M6" s="85" t="n"/>
    </row>
    <row r="7" ht="34.5" customHeight="1" thickBot="1">
      <c r="A7" s="40" t="n"/>
      <c r="B7" s="41" t="n"/>
      <c r="C7" s="41" t="n"/>
      <c r="D7" s="41" t="n"/>
      <c r="E7" s="42" t="n"/>
      <c r="F7" s="43" t="n"/>
      <c r="G7" s="41" t="n"/>
      <c r="H7" s="42" t="n"/>
      <c r="I7" s="41" t="n"/>
      <c r="J7" s="42" t="n"/>
      <c r="K7" s="44" t="n"/>
      <c r="L7" s="85" t="n"/>
      <c r="M7" s="85" t="n"/>
      <c r="N7" s="85" t="n"/>
      <c r="O7" s="85" t="n"/>
    </row>
    <row r="8" ht="36" customHeight="1" thickBot="1">
      <c r="A8" s="92" t="inlineStr">
        <is>
          <t>GENEL TOPLAM</t>
        </is>
      </c>
      <c r="B8" s="120" t="n"/>
      <c r="C8" s="121" t="n"/>
      <c r="D8" s="45">
        <f>SUM(D3:D7)</f>
        <v/>
      </c>
      <c r="E8" s="36" t="n"/>
      <c r="F8" s="45" t="n"/>
      <c r="G8" s="46" t="n"/>
      <c r="H8" s="36" t="n"/>
      <c r="I8" s="46" t="n"/>
      <c r="J8" s="36" t="n"/>
      <c r="K8" s="37" t="n"/>
      <c r="L8" s="85" t="n"/>
      <c r="M8" s="85" t="n"/>
      <c r="N8" s="85" t="n"/>
      <c r="O8" s="85" t="n"/>
    </row>
    <row r="9" ht="36" customHeight="1" thickBot="1">
      <c r="A9" s="47" t="n"/>
      <c r="B9" s="47" t="n"/>
      <c r="C9" s="47" t="n"/>
      <c r="D9" s="48" t="n"/>
      <c r="E9" s="48" t="n"/>
      <c r="F9" s="49" t="n"/>
      <c r="G9" s="47" t="n"/>
      <c r="H9" s="48" t="n"/>
      <c r="I9" s="47" t="n"/>
      <c r="J9" s="48" t="n"/>
      <c r="K9" s="47" t="n"/>
      <c r="L9" s="85" t="n"/>
      <c r="M9" s="85" t="n"/>
      <c r="N9" s="85" t="n"/>
      <c r="O9" s="85" t="n"/>
    </row>
    <row r="10" ht="45" customHeight="1">
      <c r="A10" s="89" t="inlineStr">
        <is>
          <t>ARSA YASAL DURUM DEĞERİ/KANAAT TABLOSU</t>
        </is>
      </c>
      <c r="B10" s="131" t="n"/>
      <c r="C10" s="131" t="n"/>
      <c r="D10" s="131" t="n"/>
      <c r="E10" s="131" t="n"/>
      <c r="F10" s="131" t="n"/>
      <c r="G10" s="132" t="n"/>
      <c r="H10" s="7" t="n"/>
      <c r="I10" s="7" t="n"/>
      <c r="J10" s="7" t="n"/>
      <c r="K10" s="7" t="n"/>
      <c r="L10" s="85" t="n"/>
      <c r="M10" s="85" t="n"/>
      <c r="N10" s="85" t="n"/>
      <c r="O10" s="85" t="n"/>
    </row>
    <row r="11" ht="60" customFormat="1" customHeight="1" s="85">
      <c r="A11" s="26" t="inlineStr">
        <is>
          <t>SIRA NO</t>
        </is>
      </c>
      <c r="B11" s="23" t="inlineStr">
        <is>
          <t>ADA</t>
        </is>
      </c>
      <c r="C11" s="22" t="inlineStr">
        <is>
          <t>PARSEL</t>
        </is>
      </c>
      <c r="D11" s="23" t="inlineStr">
        <is>
          <t>YÜZÖLÇÜM
(M²)</t>
        </is>
      </c>
      <c r="E11" s="24" t="inlineStr">
        <is>
          <t>YASAL BİRİM DEĞER
(TL/M²)</t>
        </is>
      </c>
      <c r="F11" s="25" t="inlineStr">
        <is>
          <t xml:space="preserve"> YASAL DEĞER
(TL)</t>
        </is>
      </c>
      <c r="G11" s="27" t="inlineStr">
        <is>
          <t>SATIŞ KABİLİYETİ</t>
        </is>
      </c>
      <c r="H11" s="5" t="n"/>
      <c r="I11" s="6" t="n"/>
      <c r="J11" s="5" t="n"/>
      <c r="K11" s="6" t="n"/>
    </row>
    <row r="12" ht="34.5" customHeight="1">
      <c r="A12" s="100" t="inlineStr">
        <is>
          <t>Sistemden BKNZ</t>
        </is>
      </c>
      <c r="B12" s="101">
        <f>B3</f>
        <v/>
      </c>
      <c r="C12" s="101">
        <f>C3</f>
        <v/>
      </c>
      <c r="D12" s="122" t="inlineStr">
        <is>
          <t>{{LAND_AREA}}</t>
        </is>
      </c>
      <c r="E12" s="103">
        <f>F12/D12</f>
        <v/>
      </c>
      <c r="F12" s="102" t="inlineStr">
        <is>
          <t>{{LEGAL_VALUE}}</t>
        </is>
      </c>
      <c r="G12" s="104" t="inlineStr">
        <is>
          <t>{{SALEABİLİTY}}</t>
        </is>
      </c>
      <c r="H12" s="85" t="n"/>
      <c r="I12" s="85" t="n"/>
      <c r="J12" s="85" t="n"/>
      <c r="K12" s="85" t="n"/>
      <c r="L12" s="85" t="n"/>
      <c r="M12" s="85" t="n"/>
      <c r="N12" s="85" t="n"/>
      <c r="O12" s="85" t="n"/>
    </row>
    <row r="13" ht="34.5" customHeight="1">
      <c r="A13" s="100" t="n"/>
      <c r="B13" s="101" t="n"/>
      <c r="C13" s="101" t="n"/>
      <c r="D13" s="101" t="n"/>
      <c r="E13" s="102" t="n"/>
      <c r="F13" s="102" t="n"/>
      <c r="G13" s="104" t="n"/>
      <c r="H13" s="85" t="n"/>
      <c r="I13" s="85" t="n"/>
      <c r="J13" s="85" t="n"/>
      <c r="K13" s="85" t="n"/>
      <c r="L13" s="85" t="n"/>
      <c r="M13" s="85" t="n"/>
      <c r="N13" s="85" t="n"/>
      <c r="O13" s="85" t="n"/>
    </row>
    <row r="14" ht="34.5" customHeight="1">
      <c r="A14" s="32" t="n"/>
      <c r="B14" s="33" t="n"/>
      <c r="C14" s="33" t="n"/>
      <c r="D14" s="33" t="n"/>
      <c r="E14" s="34" t="n"/>
      <c r="F14" s="39" t="n"/>
      <c r="G14" s="35" t="n"/>
      <c r="H14" s="85" t="n"/>
      <c r="I14" s="85" t="n"/>
      <c r="J14" s="85" t="n"/>
      <c r="K14" s="85" t="n"/>
      <c r="L14" s="85" t="n"/>
      <c r="M14" s="85" t="n"/>
      <c r="N14" s="85" t="n"/>
      <c r="O14" s="85" t="n"/>
    </row>
    <row r="15" ht="34.5" customHeight="1">
      <c r="A15" s="32" t="n"/>
      <c r="B15" s="33" t="n"/>
      <c r="C15" s="33" t="n"/>
      <c r="D15" s="33" t="n"/>
      <c r="E15" s="34" t="n"/>
      <c r="F15" s="39" t="n"/>
      <c r="G15" s="35" t="n"/>
      <c r="H15" s="85" t="n"/>
      <c r="I15" s="85" t="n"/>
      <c r="J15" s="85" t="n"/>
      <c r="K15" s="85" t="n"/>
      <c r="L15" s="85" t="n"/>
      <c r="M15" s="85" t="n"/>
      <c r="N15" s="85" t="n"/>
      <c r="O15" s="85" t="n"/>
    </row>
    <row r="16" ht="34.5" customHeight="1">
      <c r="A16" s="32" t="n"/>
      <c r="B16" s="33" t="n"/>
      <c r="C16" s="33" t="n"/>
      <c r="D16" s="33" t="n"/>
      <c r="E16" s="34" t="n"/>
      <c r="F16" s="39" t="n"/>
      <c r="G16" s="35" t="n"/>
      <c r="H16" s="85" t="n"/>
      <c r="I16" s="85" t="n"/>
      <c r="J16" s="85" t="n"/>
      <c r="K16" s="85" t="n"/>
      <c r="L16" s="85" t="n"/>
      <c r="M16" s="85" t="n"/>
      <c r="N16" s="85" t="n"/>
      <c r="O16" s="85" t="n"/>
    </row>
    <row r="17" ht="36" customHeight="1" thickBot="1">
      <c r="A17" s="72" t="inlineStr">
        <is>
          <t>GENEL TOPLAM</t>
        </is>
      </c>
      <c r="B17" s="133" t="n"/>
      <c r="C17" s="134" t="n"/>
      <c r="D17" s="51">
        <f>SUM(D12:D16)</f>
        <v/>
      </c>
      <c r="E17" s="50" t="n"/>
      <c r="F17" s="51" t="n"/>
      <c r="G17" s="52" t="n"/>
      <c r="H17" s="48" t="n"/>
      <c r="I17" s="47" t="n"/>
      <c r="J17" s="48" t="n"/>
      <c r="K17" s="47" t="n"/>
      <c r="L17" s="85" t="n"/>
      <c r="M17" s="85" t="n"/>
      <c r="N17" s="85" t="n"/>
      <c r="O17" s="85" t="n"/>
    </row>
    <row r="18" ht="31.5" customHeight="1" thickBot="1">
      <c r="A18" s="85" t="n"/>
      <c r="B18" s="85" t="n"/>
      <c r="C18" s="85" t="n"/>
      <c r="D18" s="85" t="n"/>
      <c r="E18" s="85" t="n"/>
      <c r="F18" s="85" t="n"/>
      <c r="G18" s="85" t="n"/>
      <c r="H18" s="85" t="n"/>
      <c r="I18" s="85" t="n"/>
      <c r="J18" s="85" t="n"/>
      <c r="K18" s="85" t="n"/>
      <c r="L18" s="85" t="n"/>
      <c r="M18" s="85" t="n"/>
      <c r="N18" s="85" t="n"/>
      <c r="O18" s="85" t="n"/>
    </row>
    <row r="19" ht="45" customHeight="1">
      <c r="A19" s="89" t="inlineStr">
        <is>
          <t>ARSA MEVCUT DURUM DEĞERİ/KANAAT TABLOSU</t>
        </is>
      </c>
      <c r="B19" s="131" t="n"/>
      <c r="C19" s="131" t="n"/>
      <c r="D19" s="131" t="n"/>
      <c r="E19" s="131" t="n"/>
      <c r="F19" s="131" t="n"/>
      <c r="G19" s="132" t="n"/>
      <c r="H19" s="7" t="n"/>
      <c r="I19" s="7" t="n"/>
      <c r="J19" s="7" t="n"/>
      <c r="K19" s="7" t="n"/>
      <c r="L19" s="85" t="n"/>
      <c r="M19" s="85" t="n"/>
      <c r="N19" s="85" t="n"/>
      <c r="O19" s="85" t="n"/>
    </row>
    <row r="20" ht="70.5" customHeight="1">
      <c r="A20" s="26" t="inlineStr">
        <is>
          <t>SIRA NO</t>
        </is>
      </c>
      <c r="B20" s="23" t="inlineStr">
        <is>
          <t>ADA</t>
        </is>
      </c>
      <c r="C20" s="22" t="inlineStr">
        <is>
          <t>PARSEL</t>
        </is>
      </c>
      <c r="D20" s="23" t="inlineStr">
        <is>
          <t>YÜZÖLÇÜM
(M²)</t>
        </is>
      </c>
      <c r="E20" s="24" t="inlineStr">
        <is>
          <t>MEVCUT BİRİM DEĞER
(TL/M²)</t>
        </is>
      </c>
      <c r="F20" s="25" t="inlineStr">
        <is>
          <t xml:space="preserve"> MEVCUT DEĞER
(TL)</t>
        </is>
      </c>
      <c r="G20" s="27" t="inlineStr">
        <is>
          <t>SATIŞ KABİLİYETİ</t>
        </is>
      </c>
      <c r="H20" s="5" t="n"/>
      <c r="I20" s="6" t="n"/>
      <c r="J20" s="5" t="n"/>
      <c r="K20" s="6" t="n"/>
      <c r="L20" s="85" t="n"/>
      <c r="M20" s="85" t="n"/>
      <c r="N20" s="85" t="n"/>
      <c r="O20" s="85" t="n"/>
    </row>
    <row r="21" ht="34.5" customHeight="1">
      <c r="A21" s="32">
        <f>A3</f>
        <v/>
      </c>
      <c r="B21" s="33">
        <f>B3</f>
        <v/>
      </c>
      <c r="C21" s="33">
        <f>C3</f>
        <v/>
      </c>
      <c r="D21" s="39">
        <f>D3</f>
        <v/>
      </c>
      <c r="E21" s="39">
        <f>F21/D21</f>
        <v/>
      </c>
      <c r="F21" s="34" t="inlineStr">
        <is>
          <t>{{CURRENT_VALUE}}</t>
        </is>
      </c>
      <c r="G21" s="35">
        <f>G12</f>
        <v/>
      </c>
      <c r="H21" s="85" t="n"/>
      <c r="I21" s="85" t="n"/>
      <c r="J21" s="85" t="n"/>
      <c r="K21" s="85" t="n"/>
      <c r="L21" s="85" t="n"/>
      <c r="M21" s="85" t="n"/>
      <c r="N21" s="85" t="n"/>
      <c r="O21" s="85" t="n"/>
    </row>
    <row r="22" ht="34.5" customHeight="1">
      <c r="A22" s="32" t="n"/>
      <c r="B22" s="33" t="n"/>
      <c r="C22" s="33" t="n"/>
      <c r="D22" s="33" t="n"/>
      <c r="E22" s="34" t="n"/>
      <c r="F22" s="34" t="n"/>
      <c r="G22" s="35" t="n"/>
      <c r="H22" s="85" t="n"/>
      <c r="I22" s="85" t="n"/>
      <c r="J22" s="85" t="n"/>
      <c r="K22" s="85" t="n"/>
      <c r="L22" s="85" t="n"/>
      <c r="M22" s="85" t="n"/>
      <c r="N22" s="85" t="n"/>
      <c r="O22" s="85" t="n"/>
    </row>
    <row r="23" ht="34.5" customHeight="1">
      <c r="A23" s="32" t="n"/>
      <c r="B23" s="33" t="n"/>
      <c r="C23" s="33" t="n"/>
      <c r="D23" s="33" t="n"/>
      <c r="E23" s="34" t="n"/>
      <c r="F23" s="39" t="n"/>
      <c r="G23" s="35" t="n"/>
      <c r="H23" s="85" t="n"/>
      <c r="I23" s="85" t="n"/>
      <c r="J23" s="85" t="n"/>
      <c r="K23" s="85" t="n"/>
      <c r="L23" s="85" t="n"/>
      <c r="M23" s="85" t="n"/>
      <c r="N23" s="85" t="n"/>
      <c r="O23" s="85" t="n"/>
    </row>
    <row r="24" ht="34.5" customHeight="1">
      <c r="A24" s="32" t="n"/>
      <c r="B24" s="33" t="n"/>
      <c r="C24" s="33" t="n"/>
      <c r="D24" s="33" t="n"/>
      <c r="E24" s="34" t="n"/>
      <c r="F24" s="39" t="n"/>
      <c r="G24" s="35" t="n"/>
      <c r="H24" s="85" t="n"/>
      <c r="I24" s="85" t="n"/>
      <c r="J24" s="85" t="n"/>
      <c r="K24" s="85" t="n"/>
      <c r="L24" s="85" t="n"/>
      <c r="M24" s="85" t="n"/>
      <c r="N24" s="85" t="n"/>
      <c r="O24" s="85" t="n"/>
    </row>
    <row r="25" ht="34.5" customHeight="1">
      <c r="A25" s="32" t="n"/>
      <c r="B25" s="33" t="n"/>
      <c r="C25" s="33" t="n"/>
      <c r="D25" s="33" t="n"/>
      <c r="E25" s="34" t="n"/>
      <c r="F25" s="39" t="n"/>
      <c r="G25" s="35" t="n"/>
      <c r="H25" s="85" t="n"/>
      <c r="I25" s="85" t="n"/>
      <c r="J25" s="85" t="n"/>
      <c r="K25" s="85" t="n"/>
      <c r="L25" s="85" t="n"/>
      <c r="M25" s="85" t="n"/>
      <c r="N25" s="85" t="n"/>
      <c r="O25" s="85" t="n"/>
    </row>
    <row r="26" ht="36" customHeight="1" thickBot="1">
      <c r="A26" s="72" t="inlineStr">
        <is>
          <t>GENEL TOPLAM</t>
        </is>
      </c>
      <c r="B26" s="133" t="n"/>
      <c r="C26" s="134" t="n"/>
      <c r="D26" s="51">
        <f>SUM(D21:D25)</f>
        <v/>
      </c>
      <c r="E26" s="50" t="n"/>
      <c r="F26" s="51" t="n"/>
      <c r="G26" s="52" t="n"/>
      <c r="H26" s="48" t="n"/>
      <c r="I26" s="47" t="n"/>
      <c r="J26" s="48" t="n"/>
      <c r="K26" s="47" t="n"/>
      <c r="L26" s="85" t="n"/>
      <c r="M26" s="85" t="n"/>
      <c r="N26" s="85" t="n"/>
      <c r="O26" s="85" t="n"/>
    </row>
    <row r="27" ht="30" customHeight="1">
      <c r="A27" s="84" t="n"/>
      <c r="L27" s="85" t="n"/>
      <c r="M27" s="85" t="n"/>
      <c r="N27" s="85" t="n"/>
      <c r="O27" s="85" t="n"/>
    </row>
  </sheetData>
  <mergeCells count="7">
    <mergeCell ref="A8:C8"/>
    <mergeCell ref="A17:C17"/>
    <mergeCell ref="A26:C26"/>
    <mergeCell ref="A19:G19"/>
    <mergeCell ref="A1:K1"/>
    <mergeCell ref="A10:G10"/>
    <mergeCell ref="A27:K27"/>
  </mergeCells>
  <pageMargins left="0.7" right="0.7" top="0.75" bottom="0.75" header="0.3" footer="0.3"/>
  <pageSetup orientation="landscape" paperSize="9" scale="73" verticalDpi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zoomScaleNormal="100" workbookViewId="0">
      <selection activeCell="E3" sqref="E3"/>
    </sheetView>
  </sheetViews>
  <sheetFormatPr baseColWidth="8" defaultRowHeight="15"/>
  <cols>
    <col width="8.5703125" bestFit="1" customWidth="1" style="1" min="1" max="1"/>
    <col width="14.85546875" bestFit="1" customWidth="1" style="1" min="2" max="2"/>
    <col width="23.42578125" customWidth="1" style="1" min="3" max="3"/>
    <col width="36.85546875" customWidth="1" style="1" min="4" max="4"/>
    <col width="22" customWidth="1" style="1" min="5" max="5"/>
    <col width="24.5703125" bestFit="1" customWidth="1" style="3" min="6" max="6"/>
    <col width="16.5703125" customWidth="1" style="3" min="7" max="7"/>
  </cols>
  <sheetData>
    <row r="1" ht="45" customHeight="1" thickBot="1">
      <c r="A1" s="69" t="inlineStr">
        <is>
          <t>KONUT - İŞYERLERİ YASAL DURUM DEĞERİ</t>
        </is>
      </c>
      <c r="B1" s="128" t="n"/>
      <c r="C1" s="128" t="n"/>
      <c r="D1" s="128" t="n"/>
      <c r="E1" s="128" t="n"/>
      <c r="F1" s="128" t="n"/>
      <c r="G1" s="129" t="n"/>
      <c r="H1" s="85" t="n"/>
      <c r="I1" s="85" t="n"/>
      <c r="J1" s="85" t="n"/>
    </row>
    <row r="2" ht="61.5" customFormat="1" customHeight="1" s="85" thickBot="1">
      <c r="A2" s="13" t="inlineStr">
        <is>
          <t>SIRA NO</t>
        </is>
      </c>
      <c r="B2" s="14" t="inlineStr">
        <is>
          <t>GAYRİMENKUL 
SIRA NO</t>
        </is>
      </c>
      <c r="C2" s="14" t="inlineStr">
        <is>
          <t>GAYRİMENKUL ADI</t>
        </is>
      </c>
      <c r="D2" s="14" t="inlineStr">
        <is>
          <t>YAPI RUHSATI/YKİB / YAPI KAYIT BELGESİ V.B YASAL EVRAK TARİH/SAYI</t>
        </is>
      </c>
      <c r="E2" s="14" t="inlineStr">
        <is>
          <t>YASAL ALAN
(M²)</t>
        </is>
      </c>
      <c r="F2" s="16" t="inlineStr">
        <is>
          <t>YASAL BİRİM DEĞER
(TL/M²)</t>
        </is>
      </c>
      <c r="G2" s="20" t="inlineStr">
        <is>
          <t xml:space="preserve"> YASAL DEĞER
(TL)</t>
        </is>
      </c>
    </row>
    <row r="3" ht="34.5" customHeight="1" thickBot="1">
      <c r="A3" s="30" t="n">
        <v>1</v>
      </c>
      <c r="B3" s="38" t="inlineStr">
        <is>
          <t>Sistemden BKNZ</t>
        </is>
      </c>
      <c r="C3" s="38" t="inlineStr">
        <is>
          <t>{{GAYRIMENKUL_ADI}}</t>
        </is>
      </c>
      <c r="D3" s="68" t="inlineStr">
        <is>
          <t>{{YAPI_BELGESI}}</t>
        </is>
      </c>
      <c r="E3" s="135" t="inlineStr">
        <is>
          <t>{{TOTAL_LEGAL_AREA}}</t>
        </is>
      </c>
      <c r="F3" s="135">
        <f>IFERROR(G3/E3,0)</f>
        <v/>
      </c>
      <c r="G3" s="53" t="n">
        <v>0</v>
      </c>
      <c r="H3" s="85" t="n"/>
      <c r="I3" s="78" t="inlineStr">
        <is>
          <t>SARI İLE BOYALI ALANLARA GİRİŞ YAPILMALIDIR</t>
        </is>
      </c>
      <c r="J3" s="123" t="n"/>
    </row>
    <row r="4" ht="34.5" customHeight="1">
      <c r="A4" s="32" t="n"/>
      <c r="B4" s="33" t="n"/>
      <c r="C4" s="33" t="n"/>
      <c r="D4" s="33" t="n"/>
      <c r="E4" s="33" t="n"/>
      <c r="F4" s="34" t="n"/>
      <c r="G4" s="54" t="n"/>
      <c r="H4" s="85" t="n"/>
      <c r="I4" s="124" t="n"/>
      <c r="J4" s="125" t="n"/>
    </row>
    <row r="5" ht="34.5" customHeight="1" thickBot="1">
      <c r="A5" s="32" t="n"/>
      <c r="B5" s="33" t="n"/>
      <c r="C5" s="33" t="n"/>
      <c r="D5" s="33" t="n"/>
      <c r="E5" s="33" t="n"/>
      <c r="F5" s="34" t="n"/>
      <c r="G5" s="54" t="n"/>
      <c r="H5" s="85" t="n"/>
      <c r="I5" s="126" t="n"/>
      <c r="J5" s="127" t="n"/>
    </row>
    <row r="6" ht="36" customHeight="1" thickBot="1">
      <c r="A6" s="72" t="inlineStr">
        <is>
          <t>GENEL TOPLAM</t>
        </is>
      </c>
      <c r="B6" s="133" t="n"/>
      <c r="C6" s="133" t="n"/>
      <c r="D6" s="134" t="n"/>
      <c r="E6" s="51">
        <f>SUM(E3:E5)</f>
        <v/>
      </c>
      <c r="F6" s="50" t="n"/>
      <c r="G6" s="56">
        <f>SUM(G3:G5)</f>
        <v/>
      </c>
      <c r="H6" s="85" t="n"/>
      <c r="I6" s="85" t="n"/>
      <c r="J6" s="85" t="n"/>
    </row>
    <row r="7" ht="31.5" customHeight="1" thickBot="1">
      <c r="A7" s="85" t="n"/>
      <c r="B7" s="85" t="n"/>
      <c r="C7" s="85" t="n"/>
      <c r="D7" s="85" t="n"/>
      <c r="E7" s="85" t="n"/>
      <c r="F7" s="85" t="n"/>
      <c r="G7" s="85" t="n"/>
      <c r="H7" s="85" t="n"/>
      <c r="I7" s="85" t="n"/>
      <c r="J7" s="85" t="n"/>
    </row>
    <row r="8" ht="45" customHeight="1" thickBot="1">
      <c r="A8" s="75" t="inlineStr">
        <is>
          <t>KONUT - İŞYERLERİ MEVCUT DURUM DEĞERİ</t>
        </is>
      </c>
      <c r="B8" s="120" t="n"/>
      <c r="C8" s="120" t="n"/>
      <c r="D8" s="120" t="n"/>
      <c r="E8" s="120" t="n"/>
      <c r="F8" s="120" t="n"/>
      <c r="G8" s="121" t="n"/>
      <c r="H8" s="85" t="n"/>
      <c r="I8" s="85" t="n"/>
      <c r="J8" s="85" t="n"/>
    </row>
    <row r="9" ht="61.5" customHeight="1" thickBot="1">
      <c r="A9" s="8" t="inlineStr">
        <is>
          <t>SIRA NO</t>
        </is>
      </c>
      <c r="B9" s="9" t="inlineStr">
        <is>
          <t>GAYRİMENKUL 
SIRA NO</t>
        </is>
      </c>
      <c r="C9" s="18" t="inlineStr">
        <is>
          <t>GAYRİMENKUL ADI</t>
        </is>
      </c>
      <c r="D9" s="9" t="inlineStr">
        <is>
          <t>YAPI RUHSATI/YKİB / YAPI KAYIT BELGESİ V.B YASAL EVRAK TARİH/SAYI</t>
        </is>
      </c>
      <c r="E9" s="9" t="inlineStr">
        <is>
          <t>MEVCUT ALAN
(M²)</t>
        </is>
      </c>
      <c r="F9" s="11" t="inlineStr">
        <is>
          <t>MEVCUT BİRİM DEĞER
(TL/M²)</t>
        </is>
      </c>
      <c r="G9" s="19" t="inlineStr">
        <is>
          <t xml:space="preserve"> MEVCUT DEĞER
(TL)</t>
        </is>
      </c>
      <c r="H9" s="85" t="n"/>
      <c r="I9" s="85" t="n"/>
      <c r="J9" s="85" t="n"/>
    </row>
    <row r="10" ht="34.5" customHeight="1">
      <c r="A10" s="57" t="n">
        <v>1</v>
      </c>
      <c r="B10" s="58">
        <f>B3</f>
        <v/>
      </c>
      <c r="C10" s="28">
        <f>C3</f>
        <v/>
      </c>
      <c r="D10" s="29">
        <f>D3</f>
        <v/>
      </c>
      <c r="E10" s="136" t="inlineStr">
        <is>
          <t>{{TOTAL_CURRENT_AREA}}</t>
        </is>
      </c>
      <c r="F10" s="135">
        <f>IFERROR(G10/E10,0)</f>
        <v/>
      </c>
      <c r="G10" s="59" t="n">
        <v>0</v>
      </c>
      <c r="H10" s="85" t="n"/>
      <c r="I10" s="85" t="n"/>
      <c r="J10" s="85" t="n"/>
    </row>
    <row r="11" ht="34.5" customHeight="1">
      <c r="A11" s="32" t="n"/>
      <c r="B11" s="33" t="n"/>
      <c r="C11" s="33" t="n"/>
      <c r="D11" s="33" t="n"/>
      <c r="E11" s="33" t="n"/>
      <c r="F11" s="34" t="n"/>
      <c r="G11" s="54" t="n"/>
      <c r="H11" s="85" t="n"/>
      <c r="I11" s="85" t="n"/>
      <c r="J11" s="85" t="n"/>
    </row>
    <row r="12" ht="34.5" customHeight="1">
      <c r="A12" s="32" t="n"/>
      <c r="B12" s="33" t="n"/>
      <c r="C12" s="33" t="n"/>
      <c r="D12" s="33" t="n"/>
      <c r="E12" s="33" t="n"/>
      <c r="F12" s="34" t="n"/>
      <c r="G12" s="54" t="n"/>
      <c r="H12" s="85" t="n"/>
      <c r="I12" s="85" t="n"/>
      <c r="J12" s="85" t="n"/>
    </row>
    <row r="13" ht="34.5" customHeight="1" thickBot="1">
      <c r="A13" s="60" t="n"/>
      <c r="B13" s="61" t="n"/>
      <c r="C13" s="61" t="n"/>
      <c r="D13" s="61" t="n"/>
      <c r="E13" s="61" t="n"/>
      <c r="F13" s="62" t="n"/>
      <c r="G13" s="63" t="n"/>
      <c r="H13" s="85" t="n"/>
      <c r="I13" s="85" t="n"/>
      <c r="J13" s="85" t="n"/>
    </row>
    <row r="14" ht="36" customHeight="1" thickBot="1">
      <c r="A14" s="86" t="inlineStr">
        <is>
          <t>GENEL TOPLAM</t>
        </is>
      </c>
      <c r="B14" s="137" t="n"/>
      <c r="C14" s="137" t="n"/>
      <c r="D14" s="137" t="n"/>
      <c r="E14" s="138">
        <f>SUM(E10:E13)</f>
        <v/>
      </c>
      <c r="F14" s="65" t="n"/>
      <c r="G14" s="66">
        <f>SUM(G10:G13)</f>
        <v/>
      </c>
      <c r="H14" s="85" t="n"/>
      <c r="I14" s="85" t="n"/>
      <c r="J14" s="85" t="n"/>
    </row>
    <row r="15" ht="30" customHeight="1">
      <c r="A15" s="84" t="n"/>
      <c r="H15" s="85" t="n"/>
      <c r="I15" s="85" t="n"/>
      <c r="J15" s="85" t="n"/>
    </row>
  </sheetData>
  <mergeCells count="6">
    <mergeCell ref="A1:G1"/>
    <mergeCell ref="A6:D6"/>
    <mergeCell ref="A8:G8"/>
    <mergeCell ref="I3:J5"/>
    <mergeCell ref="A15:G15"/>
    <mergeCell ref="A14:D14"/>
  </mergeCells>
  <pageMargins left="0.7" right="0.7" top="0.75" bottom="0.75" header="0.3" footer="0.3"/>
  <pageSetup orientation="landscape" paperSize="9" verticalDpi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zoomScaleNormal="100" workbookViewId="0">
      <selection activeCell="G3" sqref="G3"/>
    </sheetView>
  </sheetViews>
  <sheetFormatPr baseColWidth="8" defaultRowHeight="15"/>
  <cols>
    <col width="8.5703125" bestFit="1" customWidth="1" style="1" min="1" max="1"/>
    <col width="15.85546875" customWidth="1" style="1" min="2" max="2"/>
    <col width="20.5703125" bestFit="1" customWidth="1" style="1" min="3" max="3"/>
    <col width="12.42578125" customWidth="1" style="1" min="4" max="4"/>
    <col width="10" bestFit="1" customWidth="1" style="1" min="5" max="5"/>
    <col width="41.42578125" bestFit="1" customWidth="1" style="1" min="6" max="6"/>
    <col width="14.140625" bestFit="1" customWidth="1" style="1" min="7" max="7"/>
    <col width="21" bestFit="1" customWidth="1" style="3" min="8" max="8"/>
    <col width="15.5703125" bestFit="1" customWidth="1" style="3" min="9" max="9"/>
    <col width="15.5703125" bestFit="1" customWidth="1" style="1" min="10" max="10"/>
  </cols>
  <sheetData>
    <row r="1" ht="45" customHeight="1" thickBot="1">
      <c r="A1" s="75" t="inlineStr">
        <is>
          <t>NİTELİKLİ GAYRİMENKUL YASAL DURUM DEĞERİ/KANAAT TABLOSU</t>
        </is>
      </c>
      <c r="B1" s="120" t="n"/>
      <c r="C1" s="120" t="n"/>
      <c r="D1" s="120" t="n"/>
      <c r="E1" s="120" t="n"/>
      <c r="F1" s="120" t="n"/>
      <c r="G1" s="120" t="n"/>
      <c r="H1" s="120" t="n"/>
      <c r="I1" s="120" t="n"/>
      <c r="J1" s="121" t="n"/>
      <c r="K1" s="85" t="n"/>
      <c r="L1" s="85" t="n"/>
      <c r="M1" s="85" t="n"/>
    </row>
    <row r="2" ht="70.5" customFormat="1" customHeight="1" s="85">
      <c r="A2" s="8" t="inlineStr">
        <is>
          <t>SIRA NO</t>
        </is>
      </c>
      <c r="B2" s="9" t="inlineStr">
        <is>
          <t>GAYRİMENKUL 
SIRA NO</t>
        </is>
      </c>
      <c r="C2" s="10" t="inlineStr">
        <is>
          <t>GAYİMENKUL ADI</t>
        </is>
      </c>
      <c r="D2" s="10" t="inlineStr">
        <is>
          <t>YAPI SINIFI</t>
        </is>
      </c>
      <c r="E2" s="10" t="inlineStr">
        <is>
          <t xml:space="preserve">KAT </t>
        </is>
      </c>
      <c r="F2" s="9" t="inlineStr">
        <is>
          <t>YAPI RUHSATI/YKİB / YAPI KAYIT BELGESİ V.B YASAL EVRAK TARİH/SAYI</t>
        </is>
      </c>
      <c r="G2" s="9" t="inlineStr">
        <is>
          <t>YASAL ALAN
(M²)</t>
        </is>
      </c>
      <c r="H2" s="11" t="inlineStr">
        <is>
          <t>BİRİM DEĞER
(TL/M²)</t>
        </is>
      </c>
      <c r="I2" s="11" t="inlineStr">
        <is>
          <t xml:space="preserve"> YASAL DEĞER
(TL)</t>
        </is>
      </c>
      <c r="J2" s="12" t="inlineStr">
        <is>
          <t>SATIŞ KABİLİYETİ</t>
        </is>
      </c>
    </row>
    <row r="3" ht="31.5" customFormat="1" customHeight="1" s="85">
      <c r="A3" s="105" t="n">
        <v>1</v>
      </c>
      <c r="B3" s="106" t="inlineStr">
        <is>
          <t>Sistemden BKNZ</t>
        </is>
      </c>
      <c r="C3" s="112" t="inlineStr">
        <is>
          <t>ARSA</t>
        </is>
      </c>
      <c r="D3" s="108" t="n"/>
      <c r="E3" s="107" t="inlineStr">
        <is>
          <t>-</t>
        </is>
      </c>
      <c r="F3" s="106" t="inlineStr">
        <is>
          <t>-</t>
        </is>
      </c>
      <c r="G3" s="122" t="inlineStr">
        <is>
          <t>{{LAND_AREA}}</t>
        </is>
      </c>
      <c r="H3" s="139">
        <f>I3/G3</f>
        <v/>
      </c>
      <c r="I3" s="116" t="inlineStr">
        <is>
          <t>{{LAND_VALUE}}</t>
        </is>
      </c>
      <c r="J3" s="115" t="inlineStr">
        <is>
          <t>{{SALEABİLİTY}}</t>
        </is>
      </c>
    </row>
    <row r="4" ht="34.5" customHeight="1">
      <c r="A4" s="105" t="n">
        <v>2</v>
      </c>
      <c r="B4" s="107">
        <f>+B3</f>
        <v/>
      </c>
      <c r="C4" s="112" t="inlineStr">
        <is>
          <t>YAPI DEĞERİ</t>
        </is>
      </c>
      <c r="D4" s="110" t="inlineStr">
        <is>
          <t>{{YAPI_SINIFI}}</t>
        </is>
      </c>
      <c r="E4" s="112" t="inlineStr">
        <is>
          <t>{{MAİN_PROPERTY_FLOOR_COUNT_TEXT}}</t>
        </is>
      </c>
      <c r="F4" s="107" t="inlineStr">
        <is>
          <t>{{YAPI_BELGESI}}</t>
        </is>
      </c>
      <c r="G4" s="122" t="inlineStr">
        <is>
          <t>{{TOTAL_LEGAL_AREA}}</t>
        </is>
      </c>
      <c r="H4" s="139">
        <f>I4/G4</f>
        <v/>
      </c>
      <c r="I4" s="116" t="inlineStr">
        <is>
          <t>{{LEGAL_BUİLDİNG_VALUE}}</t>
        </is>
      </c>
      <c r="J4" s="115" t="inlineStr">
        <is>
          <t>{{SALEABİLİTY}}</t>
        </is>
      </c>
      <c r="K4" s="85" t="n"/>
    </row>
    <row r="5" ht="34.5" customHeight="1">
      <c r="A5" s="100" t="n">
        <v>3</v>
      </c>
      <c r="B5" s="101">
        <f>+B4</f>
        <v/>
      </c>
      <c r="C5" s="113" t="inlineStr">
        <is>
          <t>ŞEREFİYE VE ÇEVRE DÜZENLEMESİ</t>
        </is>
      </c>
      <c r="D5" s="101" t="n"/>
      <c r="E5" s="101" t="n"/>
      <c r="F5" s="101" t="n"/>
      <c r="G5" s="101" t="n"/>
      <c r="H5" s="109" t="n"/>
      <c r="I5" s="118" t="inlineStr">
        <is>
          <t>{{LEGAL_PREMİUM_VALUE}}</t>
        </is>
      </c>
      <c r="J5" s="115" t="inlineStr">
        <is>
          <t>{{SALEABİLİTY}}</t>
        </is>
      </c>
      <c r="K5" s="85" t="n"/>
    </row>
    <row r="6" ht="34.5" customHeight="1">
      <c r="A6" s="100" t="n"/>
      <c r="B6" s="101" t="n"/>
      <c r="C6" s="101" t="n"/>
      <c r="D6" s="101" t="n"/>
      <c r="E6" s="101" t="n"/>
      <c r="F6" s="101" t="n"/>
      <c r="G6" s="101" t="n"/>
      <c r="H6" s="109" t="n"/>
      <c r="I6" s="102" t="n"/>
      <c r="J6" s="111" t="n"/>
      <c r="K6" s="85" t="n"/>
    </row>
    <row r="7" ht="34.5" customHeight="1">
      <c r="A7" s="100" t="n"/>
      <c r="B7" s="101" t="n"/>
      <c r="C7" s="101" t="n"/>
      <c r="D7" s="101" t="n"/>
      <c r="E7" s="101" t="n"/>
      <c r="F7" s="101" t="n"/>
      <c r="G7" s="101" t="n"/>
      <c r="H7" s="102" t="n"/>
      <c r="I7" s="102" t="n"/>
      <c r="J7" s="104" t="n"/>
      <c r="K7" s="85" t="n"/>
      <c r="L7" s="85" t="n"/>
      <c r="M7" s="85" t="n"/>
    </row>
    <row r="8" ht="34.5" customHeight="1">
      <c r="A8" s="32" t="n"/>
      <c r="B8" s="33" t="n"/>
      <c r="C8" s="33" t="n"/>
      <c r="D8" s="33" t="n"/>
      <c r="E8" s="33" t="n"/>
      <c r="F8" s="33" t="n"/>
      <c r="G8" s="33" t="n"/>
      <c r="H8" s="34" t="n"/>
      <c r="I8" s="34" t="n"/>
      <c r="J8" s="35" t="n"/>
      <c r="K8" s="85" t="n"/>
      <c r="L8" s="85" t="n"/>
      <c r="M8" s="85" t="n"/>
    </row>
    <row r="9" ht="36" customHeight="1" thickBot="1">
      <c r="A9" s="93" t="inlineStr">
        <is>
          <t>GENEL TOPLAM</t>
        </is>
      </c>
      <c r="B9" s="137" t="n"/>
      <c r="C9" s="137" t="n"/>
      <c r="D9" s="137" t="n"/>
      <c r="E9" s="137" t="n"/>
      <c r="F9" s="140" t="n"/>
      <c r="G9" s="138">
        <f>SUM(G4:G8)</f>
        <v/>
      </c>
      <c r="H9" s="65" t="n"/>
      <c r="I9" s="65">
        <f>SUM(I3:I8)</f>
        <v/>
      </c>
      <c r="J9" s="67" t="n"/>
      <c r="K9" s="85" t="n"/>
      <c r="L9" s="85" t="n"/>
      <c r="M9" s="85" t="n"/>
    </row>
    <row r="10" ht="31.5" customHeight="1" thickBot="1">
      <c r="A10" s="85" t="n"/>
      <c r="B10" s="85" t="n"/>
      <c r="C10" s="85" t="n"/>
      <c r="D10" s="85" t="n"/>
      <c r="E10" s="85" t="n"/>
      <c r="F10" s="85" t="n"/>
      <c r="G10" s="85" t="n"/>
      <c r="H10" s="85" t="n"/>
      <c r="I10" s="85" t="n"/>
      <c r="J10" s="85" t="n"/>
      <c r="K10" s="85" t="n"/>
      <c r="L10" s="85" t="n"/>
      <c r="M10" s="85" t="n"/>
    </row>
    <row r="11" ht="45" customHeight="1" thickBot="1">
      <c r="A11" s="75" t="inlineStr">
        <is>
          <t>NİTELİKLİ GAYRİMENKUL MEVCUT DURUM DEĞERİ/KANAAT TABLOSU</t>
        </is>
      </c>
      <c r="B11" s="120" t="n"/>
      <c r="C11" s="120" t="n"/>
      <c r="D11" s="120" t="n"/>
      <c r="E11" s="120" t="n"/>
      <c r="F11" s="120" t="n"/>
      <c r="G11" s="120" t="n"/>
      <c r="H11" s="120" t="n"/>
      <c r="I11" s="120" t="n"/>
      <c r="J11" s="121" t="n"/>
      <c r="K11" s="85" t="n"/>
      <c r="L11" s="85" t="n"/>
      <c r="M11" s="85" t="n"/>
    </row>
    <row r="12" ht="70.5" customHeight="1">
      <c r="A12" s="8" t="inlineStr">
        <is>
          <t>SIRA NO</t>
        </is>
      </c>
      <c r="B12" s="9" t="inlineStr">
        <is>
          <t>GAYRİMENKUL 
SIRA NO</t>
        </is>
      </c>
      <c r="C12" s="10" t="inlineStr">
        <is>
          <t>GAYRİMENKUL ADI</t>
        </is>
      </c>
      <c r="D12" s="10" t="inlineStr">
        <is>
          <t>YAPI SINIFI</t>
        </is>
      </c>
      <c r="E12" s="10" t="inlineStr">
        <is>
          <t>KAT</t>
        </is>
      </c>
      <c r="F12" s="9" t="inlineStr">
        <is>
          <t>YAPI RUHSATI/YKİB / YAPI KAYIT BELGESİ V.B YASAL EVRAK TARİH/SAYI</t>
        </is>
      </c>
      <c r="G12" s="9" t="inlineStr">
        <is>
          <t>MEVCUT ALAN
(M²)</t>
        </is>
      </c>
      <c r="H12" s="11" t="inlineStr">
        <is>
          <t>MEVCUT BİRİM DEĞER
(TL/M²)</t>
        </is>
      </c>
      <c r="I12" s="11" t="inlineStr">
        <is>
          <t xml:space="preserve"> MEVCUT DEĞER
(TL)</t>
        </is>
      </c>
      <c r="J12" s="12" t="inlineStr">
        <is>
          <t>SATIŞ KABİLİYETİ</t>
        </is>
      </c>
      <c r="K12" s="85" t="n"/>
      <c r="L12" s="85" t="n"/>
      <c r="M12" s="85" t="n"/>
    </row>
    <row r="13" ht="34.5" customHeight="1">
      <c r="A13" s="105" t="n">
        <v>1</v>
      </c>
      <c r="B13" s="106" t="inlineStr">
        <is>
          <t>Sistemden BKNZ</t>
        </is>
      </c>
      <c r="C13" s="112" t="inlineStr">
        <is>
          <t>ARSA</t>
        </is>
      </c>
      <c r="D13" s="108" t="n"/>
      <c r="E13" s="107" t="inlineStr">
        <is>
          <t>-</t>
        </is>
      </c>
      <c r="F13" s="106" t="inlineStr">
        <is>
          <t>-</t>
        </is>
      </c>
      <c r="G13" s="122" t="inlineStr">
        <is>
          <t>{{LAND_AREA}}</t>
        </is>
      </c>
      <c r="H13" s="139">
        <f>I13/G13</f>
        <v/>
      </c>
      <c r="I13" s="116" t="inlineStr">
        <is>
          <t>{{LAND_VALUE}}</t>
        </is>
      </c>
      <c r="J13" s="115" t="inlineStr">
        <is>
          <t>{{SALEABİLİTY}}</t>
        </is>
      </c>
      <c r="K13" s="85" t="n"/>
      <c r="L13" s="85" t="n"/>
      <c r="M13" s="85" t="n"/>
    </row>
    <row r="14" ht="34.5" customHeight="1">
      <c r="A14" s="105" t="n">
        <v>2</v>
      </c>
      <c r="B14" s="107">
        <f>+B13</f>
        <v/>
      </c>
      <c r="C14" s="112" t="inlineStr">
        <is>
          <t>YAPI DEĞERİ</t>
        </is>
      </c>
      <c r="D14" s="110" t="inlineStr">
        <is>
          <t>{{YAPI_SINIFI}}</t>
        </is>
      </c>
      <c r="E14" s="112" t="inlineStr">
        <is>
          <t>{{MAİN_PROPERTY_FLOOR_COUNT_TEXT}}</t>
        </is>
      </c>
      <c r="F14" s="107" t="inlineStr">
        <is>
          <t>{{YAPI_BELGESI}}</t>
        </is>
      </c>
      <c r="G14" s="122" t="inlineStr">
        <is>
          <t>{{TOTAL_CURRENT_AREA}}</t>
        </is>
      </c>
      <c r="H14" s="109">
        <f>I14/G14</f>
        <v/>
      </c>
      <c r="I14" s="116" t="inlineStr">
        <is>
          <t>{{CURRENT_BUİLDİNG_VALUE}}</t>
        </is>
      </c>
      <c r="J14" s="115" t="inlineStr">
        <is>
          <t>{{SALEABİLİTY}}</t>
        </is>
      </c>
      <c r="K14" s="85" t="n"/>
      <c r="L14" s="85" t="n"/>
      <c r="M14" s="85" t="n"/>
    </row>
    <row r="15" ht="34.5" customHeight="1">
      <c r="A15" s="100" t="n">
        <v>3</v>
      </c>
      <c r="B15" s="101">
        <f>+B14</f>
        <v/>
      </c>
      <c r="C15" s="113" t="inlineStr">
        <is>
          <t>ŞEREFİYE VE ÇEVRE DÜZENLEMESİ</t>
        </is>
      </c>
      <c r="D15" s="101" t="n"/>
      <c r="E15" s="101" t="n"/>
      <c r="F15" s="101" t="n"/>
      <c r="G15" s="101" t="n"/>
      <c r="H15" s="109" t="n"/>
      <c r="I15" s="118" t="inlineStr">
        <is>
          <t>{{CURRENT_PREMİUM_VALUE}}</t>
        </is>
      </c>
      <c r="J15" s="115" t="inlineStr">
        <is>
          <t>{{SALEABİLİTY}}</t>
        </is>
      </c>
      <c r="K15" s="85" t="n"/>
      <c r="L15" s="85" t="n"/>
      <c r="M15" s="85" t="n"/>
    </row>
    <row r="16" ht="34.5" customHeight="1">
      <c r="A16" s="105" t="n"/>
      <c r="B16" s="107" t="n"/>
      <c r="C16" s="107" t="n"/>
      <c r="D16" s="110" t="n"/>
      <c r="E16" s="107" t="n"/>
      <c r="F16" s="107" t="n"/>
      <c r="G16" s="101" t="n"/>
      <c r="H16" s="117" t="n"/>
      <c r="I16" s="117" t="n"/>
      <c r="J16" s="111" t="n"/>
      <c r="K16" s="85" t="n"/>
      <c r="L16" s="85" t="n"/>
      <c r="M16" s="85" t="n"/>
    </row>
    <row r="17" ht="34.5" customHeight="1" thickBot="1">
      <c r="A17" s="32" t="n"/>
      <c r="B17" s="33" t="n"/>
      <c r="C17" s="33" t="n"/>
      <c r="D17" s="33" t="n"/>
      <c r="E17" s="33" t="n"/>
      <c r="F17" s="33" t="n"/>
      <c r="G17" s="33" t="n"/>
      <c r="H17" s="34" t="n"/>
      <c r="I17" s="31" t="n"/>
      <c r="J17" s="35" t="n"/>
      <c r="K17" s="85" t="n"/>
      <c r="L17" s="85" t="n"/>
      <c r="M17" s="85" t="n"/>
    </row>
    <row r="18" ht="36" customHeight="1" thickBot="1">
      <c r="A18" s="92" t="inlineStr">
        <is>
          <t>GENEL TOPLAM</t>
        </is>
      </c>
      <c r="B18" s="120" t="n"/>
      <c r="C18" s="120" t="n"/>
      <c r="D18" s="120" t="n"/>
      <c r="E18" s="121" t="n"/>
      <c r="F18" s="46" t="n"/>
      <c r="G18" s="45">
        <f>SUM(G14:G17)</f>
        <v/>
      </c>
      <c r="H18" s="36" t="n"/>
      <c r="I18" s="36">
        <f>SUM(I13:I17)</f>
        <v/>
      </c>
      <c r="J18" s="37" t="n"/>
      <c r="K18" s="85" t="n"/>
      <c r="L18" s="85" t="n"/>
      <c r="M18" s="85" t="n"/>
    </row>
    <row r="19" ht="30" customHeight="1">
      <c r="A19" s="84" t="n"/>
      <c r="K19" s="85" t="n"/>
      <c r="L19" s="85" t="n"/>
      <c r="M19" s="85" t="n"/>
    </row>
  </sheetData>
  <mergeCells count="5">
    <mergeCell ref="A1:J1"/>
    <mergeCell ref="A9:F9"/>
    <mergeCell ref="A18:E18"/>
    <mergeCell ref="A19:J19"/>
    <mergeCell ref="A11:J11"/>
  </mergeCells>
  <pageMargins left="0.7" right="0.7" top="0.75" bottom="0.75" header="0.3" footer="0.3"/>
  <pageSetup orientation="landscape" paperSize="9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2026-07-20T22:46:51Z</dcterms:modified>
  <cp:lastModifiedBy>melih canlılar</cp:lastModifiedBy>
</cp:coreProperties>
</file>