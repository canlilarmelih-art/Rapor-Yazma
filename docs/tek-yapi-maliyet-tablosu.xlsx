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a26bf959940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k Yapi Maliyet" sheetId="1" r:id="R8ee1a027c0434804"/>
    <x:sheet xmlns:r="http://schemas.openxmlformats.org/officeDocument/2006/relationships" name="Maliyet Kitapcigi" sheetId="2" r:id="Re91ae4e82d7d4491"/>
    <x:sheet xmlns:r="http://schemas.openxmlformats.org/officeDocument/2006/relationships" name="Kullanim Notlari" sheetId="3" r:id="R14ce4f399789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.00"/>
  </x:numFmts>
  <x:fonts count="12">
    <x:font>
      <x:sz val="11"/>
      <x:name val="Carlito"/>
    </x:font>
    <x:font>
      <x:b/>
      <x:sz val="14"/>
      <x:color rgb="FFFFFFFF"/>
      <x:name val="Carlito"/>
    </x:font>
    <x:font>
      <x:i/>
      <x:sz val="11"/>
      <x:color rgb="FF405568"/>
      <x:name val="Carlito"/>
    </x:font>
    <x:font>
      <x:b/>
      <x:sz val="11"/>
      <x:color rgb="FF17365D"/>
      <x:name val="Carlito"/>
    </x:font>
    <x:font>
      <x:b/>
      <x:sz val="11"/>
      <x:color rgb="FF203040"/>
      <x:name val="Carlito"/>
    </x:font>
    <x:font>
      <x:sz val="11"/>
      <x:color rgb="FF607080"/>
      <x:name val="Carlito"/>
    </x:font>
    <x:font>
      <x:b/>
      <x:sz val="11"/>
      <x:color rgb="FF607080"/>
      <x:name val="Carlito"/>
    </x:font>
    <x:font>
      <x:i/>
      <x:sz val="11"/>
      <x:color rgb="FF607080"/>
      <x:name val="Carlito"/>
    </x:font>
    <x:font>
      <x:b/>
      <x:i/>
      <x:sz val="11"/>
      <x:color rgb="FF607080"/>
      <x:name val="Carlito"/>
    </x:font>
    <x:font>
      <x:b/>
      <x:sz val="11"/>
      <x:color rgb="FF1F5E35"/>
      <x:name val="Carlito"/>
    </x:font>
    <x:font>
      <x:b/>
      <x:sz val="13"/>
      <x:color rgb="FFFFFFFF"/>
      <x:name val="Carlito"/>
    </x:font>
    <x:font>
      <x:i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FFD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5" fillId="0" borderId="1" xfId="0" applyNumberFormat="1" applyFont="1" applyFill="1" applyBorder="1"/>
    <x:xf numFmtId="0" fontId="6" fillId="4" borderId="1" xfId="0" applyNumberFormat="1" applyFont="1" applyFill="1" applyBorder="1"/>
    <x:xf numFmtId="0" fontId="7" fillId="0" borderId="1" xfId="0" applyNumberFormat="1" applyFont="1" applyFill="1" applyBorder="1"/>
    <x:xf numFmtId="0" fontId="8" fillId="4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9" fillId="6" borderId="1" xfId="0" applyNumberFormat="1" applyFont="1" applyFill="1" applyBorder="1"/>
    <x:xf numFmtId="200" fontId="0" fillId="5" borderId="1" xfId="0" applyNumberFormat="1" applyFont="1" applyFill="1" applyBorder="1"/>
    <x:xf numFmtId="200" fontId="9" fillId="6" borderId="1" xfId="0" applyNumberFormat="1" applyFont="1" applyFill="1" applyBorder="1"/>
    <x:xf numFmtId="200" fontId="3" fillId="5" borderId="1" xfId="0" applyNumberFormat="1" applyFont="1" applyFill="1" applyBorder="1"/>
    <x:xf numFmtId="200" fontId="0" fillId="0" borderId="0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9f1d8c3264a90" /><Relationship Type="http://schemas.openxmlformats.org/officeDocument/2006/relationships/theme" Target="/xl/theme/theme1.xml" Id="R27a03deb39304ec9" /><Relationship Type="http://schemas.openxmlformats.org/officeDocument/2006/relationships/sharedStrings" Target="/xl/sharedStrings.xml" Id="Red8867c7c97941b3" /><Relationship Type="http://schemas.openxmlformats.org/officeDocument/2006/relationships/worksheet" Target="/xl/worksheets/sheet1.xml" Id="R8ee1a027c0434804" /><Relationship Type="http://schemas.openxmlformats.org/officeDocument/2006/relationships/worksheet" Target="/xl/worksheets/sheet2.xml" Id="Re91ae4e82d7d4491" /><Relationship Type="http://schemas.openxmlformats.org/officeDocument/2006/relationships/worksheet" Target="/xl/worksheets/sheet3.xml" Id="R14ce4f399789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48" hidden="0" customWidth="1"/>
  </x:cols>
  <x:sheetData>
    <x:row r="1" ht="30" customHeight="1">
      <x:c r="A1" s="4" t="str">
        <x:v>TEK YAPIDAN OLUSAN GAYRIMENKUL - MALIYET YONTEMI</x:v>
      </x:c>
      <x:c r="B1" s="4"/>
      <x:c r="C1" s="4"/>
      <x:c r="D1" s="4"/>
    </x:row>
    <x:row r="2">
      <x:c r="A2" s="7" t="str">
        <x:v>Bu tablo tek bir ana yapidan olusan tasinmazlar icindir. Yapi ekleme/coklu bina satirlari bu surumde yoktur.</x:v>
      </x:c>
      <x:c r="B2" s="7"/>
      <x:c r="C2" s="7"/>
      <x:c r="D2" s="7"/>
    </x:row>
    <x:row r="4" ht="22" customHeight="1">
      <x:c r="A4" s="10" t="str">
        <x:v>GIRDI</x:v>
      </x:c>
      <x:c r="B4" s="10"/>
      <x:c r="C4" s="10" t="str">
        <x:v>DEGER</x:v>
      </x:c>
      <x:c r="D4" s="10" t="str">
        <x:v>BIRIM / ACIKLAMA</x:v>
      </x:c>
    </x:row>
    <x:row r="5" ht="22" customHeight="1">
      <x:c r="A5" s="12" t="str">
        <x:v>Arsa alani</x:v>
      </x:c>
      <x:c r="B5" s="24" t="n">
        <x:v>0</x:v>
      </x:c>
      <x:c r="C5" s="16" t="str">
        <x:v>m²</x:v>
      </x:c>
      <x:c r="D5" s="20" t="str">
        <x:v>Tapu veya degerleme alanindan girilir</x:v>
      </x:c>
    </x:row>
    <x:row r="6" ht="22" customHeight="1">
      <x:c r="A6" s="12" t="str">
        <x:v>Arsa birim degeri</x:v>
      </x:c>
      <x:c r="B6" s="24" t="n">
        <x:v>0</x:v>
      </x:c>
      <x:c r="C6" s="16" t="str">
        <x:v>TL/m²</x:v>
      </x:c>
      <x:c r="D6" s="20" t="str">
        <x:v>Arsa birim piyasa degeri</x:v>
      </x:c>
    </x:row>
    <x:row r="7" ht="22" customHeight="1">
      <x:c r="A7" s="12" t="str">
        <x:v>Hisse payi</x:v>
      </x:c>
      <x:c r="B7" s="28" t="n">
        <x:v>1</x:v>
      </x:c>
      <x:c r="C7" s="16" t="str">
        <x:v>pay</x:v>
      </x:c>
      <x:c r="D7" s="20" t="str">
        <x:v>Ornek: 1</x:v>
      </x:c>
    </x:row>
    <x:row r="8" ht="22" customHeight="1">
      <x:c r="A8" s="12" t="str">
        <x:v>Hisse paydasi</x:v>
      </x:c>
      <x:c r="B8" s="28" t="n">
        <x:v>1</x:v>
      </x:c>
      <x:c r="C8" s="16" t="str">
        <x:v>payda</x:v>
      </x:c>
      <x:c r="D8" s="20" t="str">
        <x:v>Ornek: 1</x:v>
      </x:c>
    </x:row>
    <x:row r="9" ht="22" customHeight="1">
      <x:c r="A9" s="12" t="str">
        <x:v>Arsa degeri</x:v>
      </x:c>
      <x:c r="B9" s="25" t="n">
        <x:f>IFERROR(B5*B6*B7/B8,0)</x:f>
        <x:v>0</x:v>
      </x:c>
      <x:c r="C9" s="16" t="str">
        <x:v>TL</x:v>
      </x:c>
      <x:c r="D9" s="20" t="str">
        <x:v>Otomatik hesaplanir</x:v>
      </x:c>
    </x:row>
    <x:row r="10" ht="22" customHeight="1">
      <x:c r="A10" s="12" t="str"/>
      <x:c r="B10" s="24"/>
      <x:c r="C10" s="16" t="str"/>
      <x:c r="D10" s="20" t="str"/>
    </x:row>
    <x:row r="11" ht="22" customHeight="1">
      <x:c r="A11" s="13" t="str">
        <x:v>TEK YAPI BILGILERI</x:v>
      </x:c>
      <x:c r="B11" s="26"/>
      <x:c r="C11" s="17" t="str"/>
      <x:c r="D11" s="21" t="str"/>
    </x:row>
    <x:row r="12" ht="22" customHeight="1">
      <x:c r="A12" s="12" t="str">
        <x:v>Yapi turu</x:v>
      </x:c>
      <x:c r="B12" s="24" t="str">
        <x:v>Sanayi tesisi</x:v>
      </x:c>
      <x:c r="C12" s="16" t="str"/>
      <x:c r="D12" s="20" t="str">
        <x:v>Tek ana yapi icin secilir</x:v>
      </x:c>
    </x:row>
    <x:row r="13" ht="22" customHeight="1">
      <x:c r="A13" s="12" t="str">
        <x:v>Yapi sinifi</x:v>
      </x:c>
      <x:c r="B13" s="24" t="str">
        <x:v>2/C</x:v>
      </x:c>
      <x:c r="C13" s="16" t="str"/>
      <x:c r="D13" s="20" t="str">
        <x:v>Maliyet kitapcigindan secilir</x:v>
      </x:c>
    </x:row>
    <x:row r="14" ht="22" customHeight="1">
      <x:c r="A14" s="12" t="str">
        <x:v>Kalite seviyesi</x:v>
      </x:c>
      <x:c r="B14" s="24" t="str">
        <x:v>Orta</x:v>
      </x:c>
      <x:c r="C14" s="16" t="str"/>
      <x:c r="D14" s="20" t="str">
        <x:v>Dusuk / Orta / Iyi / Luks</x:v>
      </x:c>
    </x:row>
    <x:row r="15" ht="22" customHeight="1">
      <x:c r="A15" s="12" t="str">
        <x:v>Yasal yapi alani</x:v>
      </x:c>
      <x:c r="B15" s="24" t="n">
        <x:v>0</x:v>
      </x:c>
      <x:c r="C15" s="16" t="str">
        <x:v>m²</x:v>
      </x:c>
      <x:c r="D15" s="20" t="str">
        <x:v>Ruhsat/tapuya gore yasal alan</x:v>
      </x:c>
    </x:row>
    <x:row r="16" ht="22" customHeight="1">
      <x:c r="A16" s="12" t="str">
        <x:v>Mevcut yapi alani</x:v>
      </x:c>
      <x:c r="B16" s="24" t="n">
        <x:v>0</x:v>
      </x:c>
      <x:c r="C16" s="16" t="str">
        <x:v>m²</x:v>
      </x:c>
      <x:c r="D16" s="20" t="str">
        <x:v>Sahadaki mevcut alan</x:v>
      </x:c>
    </x:row>
    <x:row r="17" ht="22" customHeight="1">
      <x:c r="A17" s="12" t="str">
        <x:v>Yapi birim maliyeti</x:v>
      </x:c>
      <x:c r="B17" s="24" t="n">
        <x:v>0</x:v>
      </x:c>
      <x:c r="C17" s="16" t="str">
        <x:v>TL/m²</x:v>
      </x:c>
      <x:c r="D17" s="20" t="str">
        <x:v>Kitapciktan gelir; gerekirse manuel degistirilir</x:v>
      </x:c>
    </x:row>
    <x:row r="18" ht="22" customHeight="1">
      <x:c r="A18" s="12" t="str">
        <x:v>Yasal insaat seviyesi</x:v>
      </x:c>
      <x:c r="B18" s="24" t="n">
        <x:v>100</x:v>
      </x:c>
      <x:c r="C18" s="16" t="str">
        <x:v>%</x:v>
      </x:c>
      <x:c r="D18" s="20" t="str">
        <x:v>Tamamlanmis yapi icin 100</x:v>
      </x:c>
    </x:row>
    <x:row r="19" ht="22" customHeight="1">
      <x:c r="A19" s="12" t="str">
        <x:v>Mevcut insaat seviyesi</x:v>
      </x:c>
      <x:c r="B19" s="29" t="n">
        <x:v>100</x:v>
      </x:c>
      <x:c r="C19" s="16" t="str">
        <x:v>%</x:v>
      </x:c>
      <x:c r="D19" s="20" t="str">
        <x:v>Mevcut fiziksel durum</x:v>
      </x:c>
    </x:row>
    <x:row r="20" ht="22" customHeight="1">
      <x:c r="A20" s="12" t="str">
        <x:v>Yasal yipranma orani</x:v>
      </x:c>
      <x:c r="B20" s="29" t="n">
        <x:v>0</x:v>
      </x:c>
      <x:c r="C20" s="16" t="str">
        <x:v>%</x:v>
      </x:c>
      <x:c r="D20" s="20" t="str">
        <x:v>Yapi yasina ve nevine gore</x:v>
      </x:c>
    </x:row>
    <x:row r="21" ht="22" customHeight="1">
      <x:c r="A21" s="12" t="str">
        <x:v>Mevcut yipranma orani</x:v>
      </x:c>
      <x:c r="B21" s="29" t="n">
        <x:v>0</x:v>
      </x:c>
      <x:c r="C21" s="16" t="str">
        <x:v>%</x:v>
      </x:c>
      <x:c r="D21" s="20" t="str">
        <x:v>Yapi yasina ve nevine gore</x:v>
      </x:c>
    </x:row>
    <x:row r="22" ht="22" customHeight="1">
      <x:c r="A22" s="12" t="str"/>
      <x:c r="B22" s="29"/>
      <x:c r="C22" s="16" t="str"/>
      <x:c r="D22" s="20" t="str"/>
    </x:row>
    <x:row r="23" ht="22" customHeight="1">
      <x:c r="A23" s="13" t="str">
        <x:v>EK DEGERLER</x:v>
      </x:c>
      <x:c r="B23" s="26"/>
      <x:c r="C23" s="17" t="str"/>
      <x:c r="D23" s="21" t="str"/>
    </x:row>
    <x:row r="24" ht="22" customHeight="1">
      <x:c r="A24" s="12" t="str">
        <x:v>Yasal cevre duzenlemesi / ser3fiye</x:v>
      </x:c>
      <x:c r="B24" s="24" t="n">
        <x:v>0</x:v>
      </x:c>
      <x:c r="C24" s="16" t="str">
        <x:v>TL</x:v>
      </x:c>
      <x:c r="D24" s="20" t="str">
        <x:v>Tek yapiya ait ek deger</x:v>
      </x:c>
    </x:row>
    <x:row r="25" ht="22" customHeight="1">
      <x:c r="A25" s="12" t="str">
        <x:v>Mevcut cevre duzenlemesi / ser3fiye</x:v>
      </x:c>
      <x:c r="B25" s="24" t="n">
        <x:v>0</x:v>
      </x:c>
      <x:c r="C25" s="16" t="str">
        <x:v>TL</x:v>
      </x:c>
      <x:c r="D25" s="20" t="str">
        <x:v>Tek yapiya ait ek deger</x:v>
      </x:c>
    </x:row>
    <x:row r="26" ht="22" customHeight="1">
      <x:c r="A26" s="12" t="str"/>
      <x:c r="B26" s="24"/>
      <x:c r="C26" s="16" t="str"/>
      <x:c r="D26" s="20" t="str"/>
    </x:row>
    <x:row r="27" ht="22" customHeight="1">
      <x:c r="A27" s="13" t="str">
        <x:v>HESAPLANAN SONUCLAR</x:v>
      </x:c>
      <x:c r="B27" s="26"/>
      <x:c r="C27" s="17" t="str"/>
      <x:c r="D27" s="21" t="str"/>
    </x:row>
    <x:row r="28" ht="22" customHeight="1">
      <x:c r="A28" s="12" t="str">
        <x:v>Yasal yapi degeri</x:v>
      </x:c>
      <x:c r="B28" s="25" t="n">
        <x:f>IFERROR(B15*B17*(B18/100)*(1-B20/100),0)</x:f>
        <x:v>0</x:v>
      </x:c>
      <x:c r="C28" s="16" t="str">
        <x:v>TL</x:v>
      </x:c>
      <x:c r="D28" s="20" t="str">
        <x:v>Alan x birim maliyet x seviye x (1-yipranma)</x:v>
      </x:c>
    </x:row>
    <x:row r="29" ht="22" customHeight="1">
      <x:c r="A29" s="12" t="str">
        <x:v>Mevcut yapi degeri</x:v>
      </x:c>
      <x:c r="B29" s="25" t="n">
        <x:f>IFERROR(B16*B17*(B19/100)*(1-B21/100),0)</x:f>
        <x:v>0</x:v>
      </x:c>
      <x:c r="C29" s="16" t="str">
        <x:v>TL</x:v>
      </x:c>
      <x:c r="D29" s="20" t="str">
        <x:v>Alan x birim maliyet x seviye x (1-yipranma)</x:v>
      </x:c>
    </x:row>
    <x:row r="30" ht="22" customHeight="1">
      <x:c r="A30" s="12" t="str">
        <x:v>Yasal toplam deger</x:v>
      </x:c>
      <x:c r="B30" s="25" t="n">
        <x:f>B9+B28+B24</x:f>
        <x:v>0</x:v>
      </x:c>
      <x:c r="C30" s="16" t="str">
        <x:v>TL</x:v>
      </x:c>
      <x:c r="D30" s="20" t="str">
        <x:v>Arsa + yasal yapi + yasal ek deger</x:v>
      </x:c>
    </x:row>
    <x:row r="31" ht="22" customHeight="1">
      <x:c r="A31" s="12" t="str">
        <x:v>Mevcut toplam deger</x:v>
      </x:c>
      <x:c r="B31" s="25" t="n">
        <x:f>B9+B29+B25</x:f>
        <x:v>0</x:v>
      </x:c>
      <x:c r="C31" s="16" t="str">
        <x:v>TL</x:v>
      </x:c>
      <x:c r="D31" s="20" t="str">
        <x:v>Arsa + mevcut yapi + mevcut ek deger</x:v>
      </x:c>
    </x:row>
    <x:row r="32" ht="22" customHeight="1">
      <x:c r="A32" s="12" t="str">
        <x:v>Yasal toplam m² birim degeri</x:v>
      </x:c>
      <x:c r="B32" s="25" t="n">
        <x:f>IFERROR(B30/B15,0)</x:f>
        <x:v>0</x:v>
      </x:c>
      <x:c r="C32" s="16" t="str">
        <x:v>TL/m²</x:v>
      </x:c>
      <x:c r="D32" s="20" t="str">
        <x:v>Yasal toplam / yasal yapi alani</x:v>
      </x:c>
    </x:row>
    <x:row r="33" ht="22" customHeight="1">
      <x:c r="A33" s="12" t="str">
        <x:v>Mevcut toplam m² birim degeri</x:v>
      </x:c>
      <x:c r="B33" s="25" t="n">
        <x:f>IFERROR(B31/B16,0)</x:f>
        <x:v>0</x:v>
      </x:c>
      <x:c r="C33" s="16" t="str">
        <x:v>TL/m²</x:v>
      </x:c>
      <x:c r="D33" s="20" t="str">
        <x:v>Mevcut toplam / mevcut yapi alani</x:v>
      </x:c>
    </x:row>
    <x:row r="34">
      <x:c r="B34" s="27"/>
    </x:row>
  </x:sheetData>
  <x:mergeCells>
    <x:mergeCell ref="A1:D1"/>
    <x:mergeCell ref="A2:D2"/>
    <x:mergeCell ref="A11:D11"/>
    <x:mergeCell ref="A23:D23"/>
    <x:mergeCell ref="A27:D27"/>
  </x:mergeCells>
  <x:dataValidations count="3">
    <x:dataValidation type="list" sqref="B12">
      <x:formula1>"Sanayi tesisi,Depo,Ticari bina,Egitim tesisi,Konut,Diger"</x:formula1>
    </x:dataValidation>
    <x:dataValidation type="list" sqref="B13">
      <x:formula1>"1/A,1/B,2/A,2/B,2/C,3/A,3/B,3/C,4/A,4/B,4/C,5/A,5/B,5/C,5/D"</x:formula1>
    </x:dataValidation>
    <x:dataValidation type="list" sqref="B14">
      <x:formula1>"Dusuk,Orta,Iyi,Luks"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1" t="str">
        <x:v>MALIYET KITAPCIGI - 2023 REFERANS TABLOSU</x:v>
      </x:c>
      <x:c r="B1" s="31"/>
      <x:c r="C1" s="31"/>
      <x:c r="D1" s="31"/>
      <x:c r="E1" s="31"/>
      <x:c r="F1" s="31"/>
    </x:row>
    <x:row r="3">
      <x:c r="A3" s="32" t="str">
        <x:v>Yapi sinifi</x:v>
      </x:c>
      <x:c r="B3" s="32" t="str">
        <x:v>Yapi turu</x:v>
      </x:c>
      <x:c r="C3" s="32" t="str">
        <x:v>Dusuk TL/m²</x:v>
      </x:c>
      <x:c r="D3" s="32" t="str">
        <x:v>Orta TL/m²</x:v>
      </x:c>
      <x:c r="E3" s="32" t="str">
        <x:v>Iyi TL/m²</x:v>
      </x:c>
      <x:c r="F3" s="32" t="str">
        <x:v>Luks TL/m²</x:v>
      </x:c>
    </x:row>
    <x:row r="4">
      <x:c r="A4" s="33" t="str">
        <x:v>1/A</x:v>
      </x:c>
      <x:c r="B4" s="33" t="str">
        <x:v>Genel yapi grubu</x:v>
      </x:c>
      <x:c r="C4" s="34" t="n">
        <x:v>3638</x:v>
      </x:c>
      <x:c r="D4" s="34" t="n">
        <x:v>4800</x:v>
      </x:c>
      <x:c r="E4" s="34" t="n">
        <x:v>6413</x:v>
      </x:c>
      <x:c r="F4" s="34" t="n">
        <x:v>6870</x:v>
      </x:c>
    </x:row>
    <x:row r="5">
      <x:c r="A5" s="33" t="str">
        <x:v>1/B</x:v>
      </x:c>
      <x:c r="B5" s="33" t="str">
        <x:v>Genel yapi grubu</x:v>
      </x:c>
      <x:c r="C5" s="34" t="n">
        <x:v>3638</x:v>
      </x:c>
      <x:c r="D5" s="34" t="n">
        <x:v>4800</x:v>
      </x:c>
      <x:c r="E5" s="34" t="n">
        <x:v>6413</x:v>
      </x:c>
      <x:c r="F5" s="34" t="n">
        <x:v>6870</x:v>
      </x:c>
    </x:row>
    <x:row r="6">
      <x:c r="A6" s="33" t="str">
        <x:v>2/A</x:v>
      </x:c>
      <x:c r="B6" s="33" t="str">
        <x:v>Kucuk sanayi</x:v>
      </x:c>
      <x:c r="C6" s="34" t="n">
        <x:v>3638</x:v>
      </x:c>
      <x:c r="D6" s="34" t="n">
        <x:v>4800</x:v>
      </x:c>
      <x:c r="E6" s="34" t="n">
        <x:v>6413</x:v>
      </x:c>
      <x:c r="F6" s="34" t="n">
        <x:v>6870</x:v>
      </x:c>
    </x:row>
    <x:row r="7">
      <x:c r="A7" s="33" t="str">
        <x:v>2/B</x:v>
      </x:c>
      <x:c r="B7" s="33" t="str">
        <x:v>Depo</x:v>
      </x:c>
      <x:c r="C7" s="34" t="n">
        <x:v>3315</x:v>
      </x:c>
      <x:c r="D7" s="34" t="n">
        <x:v>4800</x:v>
      </x:c>
      <x:c r="E7" s="34" t="n">
        <x:v>6870</x:v>
      </x:c>
      <x:c r="F7" s="34" t="n">
        <x:v>8813</x:v>
      </x:c>
    </x:row>
    <x:row r="8">
      <x:c r="A8" s="33" t="str">
        <x:v>2/C</x:v>
      </x:c>
      <x:c r="B8" s="33" t="str">
        <x:v>Sanayi tesisi</x:v>
      </x:c>
      <x:c r="C8" s="34" t="n">
        <x:v>3638</x:v>
      </x:c>
      <x:c r="D8" s="34" t="n">
        <x:v>4800</x:v>
      </x:c>
      <x:c r="E8" s="34" t="n">
        <x:v>6413</x:v>
      </x:c>
      <x:c r="F8" s="34" t="n">
        <x:v>6870</x:v>
      </x:c>
    </x:row>
    <x:row r="9">
      <x:c r="A9" s="33" t="str">
        <x:v>3/A</x:v>
      </x:c>
      <x:c r="B9" s="33" t="str">
        <x:v>Konut / sosyal tesis</x:v>
      </x:c>
      <x:c r="C9" s="34" t="n">
        <x:v>3638</x:v>
      </x:c>
      <x:c r="D9" s="34" t="n">
        <x:v>4800</x:v>
      </x:c>
      <x:c r="E9" s="34" t="n">
        <x:v>6413</x:v>
      </x:c>
      <x:c r="F9" s="34" t="n">
        <x:v>6870</x:v>
      </x:c>
    </x:row>
    <x:row r="10">
      <x:c r="A10" s="33" t="str">
        <x:v>3/B</x:v>
      </x:c>
      <x:c r="B10" s="33" t="str">
        <x:v>Ticari / egitim</x:v>
      </x:c>
      <x:c r="C10" s="34" t="n">
        <x:v>4800</x:v>
      </x:c>
      <x:c r="D10" s="34" t="n">
        <x:v>8160</x:v>
      </x:c>
      <x:c r="E10" s="34" t="n">
        <x:v>10635</x:v>
      </x:c>
      <x:c r="F10" s="34" t="n">
        <x:v>14288</x:v>
      </x:c>
    </x:row>
    <x:row r="11">
      <x:c r="A11" s="33" t="str">
        <x:v>4/B</x:v>
      </x:c>
      <x:c r="B11" s="33" t="str">
        <x:v>Ticari / banka</x:v>
      </x:c>
      <x:c r="C11" s="34" t="n">
        <x:v>4800</x:v>
      </x:c>
      <x:c r="D11" s="34" t="n">
        <x:v>8160</x:v>
      </x:c>
      <x:c r="E11" s="34" t="n">
        <x:v>10635</x:v>
      </x:c>
      <x:c r="F11" s="34" t="n">
        <x:v>14288</x:v>
      </x:c>
    </x:row>
    <x:row r="12">
      <x:c r="A12" s="33" t="str">
        <x:v>4/C</x:v>
      </x:c>
      <x:c r="B12" s="33" t="str">
        <x:v>Buyuk ticari yapi</x:v>
      </x:c>
      <x:c r="C12" s="34" t="n">
        <x:v>4800</x:v>
      </x:c>
      <x:c r="D12" s="34" t="n">
        <x:v>8160</x:v>
      </x:c>
      <x:c r="E12" s="34" t="n">
        <x:v>10635</x:v>
      </x:c>
      <x:c r="F12" s="34" t="n">
        <x:v>14288</x:v>
      </x:c>
    </x:row>
    <x:row r="14">
      <x:c r="A14" s="37" t="str">
        <x:v>Not: Bu tablo ekli calisma kitabindaki 2023 Halkbank kalite seviyeli maliyetlerinden baslangic referansi olarak olusturuldu. Uygulamada yil ve kaynak versiyonu secilebilir olmalidir.</x:v>
      </x:c>
      <x:c r="B14" s="37"/>
      <x:c r="C14" s="37"/>
      <x:c r="D14" s="37"/>
      <x:c r="E14" s="37"/>
      <x:c r="F14" s="37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>
      <x:c r="A1" s="31" t="str">
        <x:v>KULLANIM NOTLARI</x:v>
      </x:c>
      <x:c r="B1" s="31"/>
      <x:c r="C1" s="31"/>
      <x:c r="D1" s="31"/>
    </x:row>
    <x:row r="3">
      <x:c r="A3" s="38" t="str">
        <x:v>Kapsam</x:v>
      </x:c>
      <x:c r="B3" s="33" t="str">
        <x:v>Tek bir ana yapidan olusan gayrimenkuller.</x:v>
      </x:c>
    </x:row>
    <x:row r="4">
      <x:c r="A4" s="38" t="str">
        <x:v>Arsa degeri</x:v>
      </x:c>
      <x:c r="B4" s="33" t="str">
        <x:v>Arsa alani x arsa birim degeri x hisse payi / paydasi.</x:v>
      </x:c>
    </x:row>
    <x:row r="5">
      <x:c r="A5" s="38" t="str">
        <x:v>Yapi degeri</x:v>
      </x:c>
      <x:c r="B5" s="33" t="str">
        <x:v>Alan x birim maliyet x insaat seviyesi x (1 - yipranma).</x:v>
      </x:c>
    </x:row>
    <x:row r="6">
      <x:c r="A6" s="38" t="str">
        <x:v>Yasal toplam</x:v>
      </x:c>
      <x:c r="B6" s="33" t="str">
        <x:v>Arsa degeri + yasal yapi degeri + yasal cevre duzenlemesi/ser3fiye.</x:v>
      </x:c>
    </x:row>
    <x:row r="7">
      <x:c r="A7" s="38" t="str">
        <x:v>Mevcut toplam</x:v>
      </x:c>
      <x:c r="B7" s="33" t="str">
        <x:v>Arsa degeri + mevcut yapi degeri + mevcut cevre duzenlemesi/ser3fiye.</x:v>
      </x:c>
    </x:row>
    <x:row r="8">
      <x:c r="A8" s="38" t="str">
        <x:v>Birim maliyet</x:v>
      </x:c>
      <x:c r="B8" s="33" t="str">
        <x:v>Maliyet kitapcigi referansindan secilir; uzman gerekirse manuel duzeltebilir.</x:v>
      </x:c>
    </x:row>
    <x:row r="9">
      <x:c r="A9" s="38" t="str">
        <x:v>Yapilmayan kisim</x:v>
      </x:c>
      <x:c r="B9" s="33" t="str">
        <x:v>Birden fazla yapi satiri, yapilar arasi paylastirma ve coklu tasinmaz kapsami.</x:v>
      </x:c>
    </x:row>
    <x:row r="10">
      <x:c r="A10" s="38" t="str">
        <x:v>Sonraki adim</x:v>
      </x:c>
      <x:c r="B10" s="33" t="str">
        <x:v>Yapi ekleme modulu ve ortak/ayri maliyet paylastirma mantigi.</x:v>
      </x:c>
    </x:row>
  </x:sheetData>
  <x:mergeCells>
    <x:mergeCell ref="A1:D1"/>
  </x:mergeCells>
  <x:pageMargins left="0.7" right="0.7" top="0.75" bottom="0.75" header="0.3" footer="0.3"/>
</x:worksheet>
</file>